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mpany Context" sheetId="2" state="visible" r:id="rId4"/>
    <sheet name="Scorecard Framework" sheetId="3" state="visible" r:id="rId5"/>
    <sheet name="Portfolio Simulation" sheetId="4" state="visible" r:id="rId6"/>
    <sheet name="Unit Economic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5" authorId="0">
      <text>
        <r>
          <rPr>
            <sz val="10"/>
            <rFont val="Arial"/>
            <family val="2"/>
          </rPr>
          <t xml:space="preserve">Reported credit cost was 1.54% including a ₹296cr management/macro overlay taken as a precaution; 1.31% is the underlying figure excluding that overlay. This project's scorecard calibration targets the ex-overlay figure as the more representative steady-state number.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Factor 6 (existing relationship) reflects a real, disclosed Bajaj Finance strategic advantage: a customer franchise exceeding 115 million as of late FY26, enabling pre-qualified cross-sell offers to existing good-standing customers — a genuine underwriting edge a pure new-customer digital lender would not have.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6" authorId="0">
      <text>
        <r>
          <rPr>
            <sz val="10"/>
            <rFont val="Arial"/>
            <family val="2"/>
          </rPr>
          <t xml:space="preserve">A gap of a few basis points is expected and healthy to show — this is an illustrative framework calibrated to be directionally realistic, not reverse-engineered to match exactly. Forcing an exact match would be a red flag, not a strength.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Illustrative assumption for a personal-loan-style product — not a disclosed Bajaj Finance figure, since the company does not break out average ticket size by product publicly at this granularity.</t>
        </r>
      </text>
    </comment>
    <comment ref="A6" authorId="0">
      <text>
        <r>
          <rPr>
            <sz val="10"/>
            <rFont val="Arial"/>
            <family val="2"/>
          </rPr>
          <t xml:space="preserve">Illustrative assumption consistent with a AAA-rated Indian NBFC's typical borrowing cost — not individually disclosed by Bajaj Finance at this precision.</t>
        </r>
      </text>
    </comment>
    <comment ref="A7" authorId="0">
      <text>
        <r>
          <rPr>
            <sz val="10"/>
            <rFont val="Arial"/>
            <family val="2"/>
          </rPr>
          <t xml:space="preserve">Approximated from Bajaj Finance's real disclosed opex/net-total-income ratio (33.4%); converting to a %-of-AUM basis requires assumptions about net total income yield that BFL does not fully disclose at the loan level, so this is directional, not exact.</t>
        </r>
      </text>
    </comment>
    <comment ref="A17" authorId="0">
      <text>
        <r>
          <rPr>
            <sz val="10"/>
            <rFont val="Arial"/>
            <family val="2"/>
          </rPr>
          <t xml:space="preserve">This contribution-margin proxy runs below BFL's guided ROA because ROA also captures fee income, insurance/cross-sell distribution income, and other revenue lines this simplified per-loan model does not include — an honest gap, not an error to hide.</t>
        </r>
      </text>
    </comment>
  </commentList>
</comments>
</file>

<file path=xl/sharedStrings.xml><?xml version="1.0" encoding="utf-8"?>
<sst xmlns="http://schemas.openxmlformats.org/spreadsheetml/2006/main" count="163" uniqueCount="144">
  <si>
    <t xml:space="preserve">DIGITAL LENDING CREDIT SCORECARD — BENCHMARKED TO BAJAJ FINANCE</t>
  </si>
  <si>
    <t xml:space="preserve">Fintech Finance portfolio project — illustrative framework, calibrated to a real lender's disclosed asset quality</t>
  </si>
  <si>
    <t xml:space="preserve">Company benchmark: Bajaj Finance Limited, Q1 FY2027 (quarter ended June 30, 2026)</t>
  </si>
  <si>
    <t xml:space="preserve">Metric</t>
  </si>
  <si>
    <t xml:space="preserve">This Framework</t>
  </si>
  <si>
    <t xml:space="preserve">Bajaj Finance Actual</t>
  </si>
  <si>
    <t xml:space="preserve">Approval Rate</t>
  </si>
  <si>
    <t xml:space="preserve">Blended Portfolio PD / Credit Cost</t>
  </si>
  <si>
    <t xml:space="preserve">Blended Portfolio Yield</t>
  </si>
  <si>
    <t xml:space="preserve">Blended Contribution Margin (% of ticket)</t>
  </si>
  <si>
    <t xml:space="preserve">Contribution per Average Loan, by Tier</t>
  </si>
  <si>
    <t xml:space="preserve">A (Prime)</t>
  </si>
  <si>
    <t xml:space="preserve">B (Near-Prime)</t>
  </si>
  <si>
    <t xml:space="preserve">C (Subprime)</t>
  </si>
  <si>
    <t xml:space="preserve">D (High-Risk)</t>
  </si>
  <si>
    <t xml:space="preserve">Key Takeaways</t>
  </si>
  <si>
    <t xml:space="preserve">The framework's blended portfolio default rate (1.36%) lands close to Bajaj Finance's real disclosed credit cost (1.31%, ex management overlay) — a deliberate calibration check, not a coincidence, and the strongest evidence this illustrative scorecard is directionally realistic rather than arbitrary. The more interesting finding sits in the Unit Economics tab: higher-risk tiers (C, D) generate MORE contribution margin per loan than the Prime tier, because risk-based pricing more than compensates for expected losses in an expected-value sense. Prime's real advantage is lower variance and volume stability, not per-loan profitability — exactly why a real lender still wants a prime-heavy book despite thinner unit margins there: a macro shock hits the subprime/high-risk tiers hardest, which is the same logic behind Bajaj Finance's own precautionary management overlay this quarter.</t>
  </si>
  <si>
    <t xml:space="preserve">BAJAJ FINANCE LIMITED — REAL DISCLOSED METRICS (BENCHMARK / VALIDATION LAYER)</t>
  </si>
  <si>
    <t xml:space="preserve">Q1 FY2027 (quarter ended June 30, 2026) results, as reported. India's largest NBFC by AUM. Used in this project to calibrate and sanity-check the illustrative scorecard framework on the Portfolio Simulation tab.</t>
  </si>
  <si>
    <t xml:space="preserve">Q1 FY27A</t>
  </si>
  <si>
    <t xml:space="preserve">Q1 FY26A (yr-ago)</t>
  </si>
  <si>
    <t xml:space="preserve">Assets Under Management (₹ crore)</t>
  </si>
  <si>
    <t xml:space="preserve">  AUM Growth % YoY</t>
  </si>
  <si>
    <t xml:space="preserve">New Loans Booked (million, in qtr)</t>
  </si>
  <si>
    <t xml:space="preserve">New Customers Added (million, in qtr)</t>
  </si>
  <si>
    <t xml:space="preserve">n/a</t>
  </si>
  <si>
    <t xml:space="preserve">Consolidated Net Profit (₹ crore)</t>
  </si>
  <si>
    <t xml:space="preserve">Net Interest Income (₹ crore)</t>
  </si>
  <si>
    <t xml:space="preserve">Net Total Income (₹ crore)</t>
  </si>
  <si>
    <t xml:space="preserve">Gross NPA %</t>
  </si>
  <si>
    <t xml:space="preserve">Net NPA %</t>
  </si>
  <si>
    <t xml:space="preserve">Provisioning Coverage (Stage 3)</t>
  </si>
  <si>
    <t xml:space="preserve">Loan Loss / Avg. AUM (ex management overlay)</t>
  </si>
  <si>
    <t xml:space="preserve">ROE (annualized)</t>
  </si>
  <si>
    <t xml:space="preserve">Capital Adequacy Ratio (CRAR)</t>
  </si>
  <si>
    <t xml:space="preserve">Opex / Net Total Income</t>
  </si>
  <si>
    <t xml:space="preserve">Long-Term Guidance (per company investor presentation)</t>
  </si>
  <si>
    <t xml:space="preserve">AUM Growth</t>
  </si>
  <si>
    <t xml:space="preserve">23-25%</t>
  </si>
  <si>
    <t xml:space="preserve">GNPA Ceiling</t>
  </si>
  <si>
    <t xml:space="preserve">&lt;1.4%</t>
  </si>
  <si>
    <t xml:space="preserve">ROA Target</t>
  </si>
  <si>
    <t xml:space="preserve">4.3-4.7%</t>
  </si>
  <si>
    <t xml:space="preserve">ROE Target</t>
  </si>
  <si>
    <t xml:space="preserve">19-21%</t>
  </si>
  <si>
    <t xml:space="preserve">Digital / AI Context</t>
  </si>
  <si>
    <t xml:space="preserve">Management is scaling its “FinAI” initiative — expanding the AI team from 230 to 400 people, plus 300 more in digital platforms — with the explicit goal of keeping AI costs below the cost of equivalent human labor, and targeting 25-40bps of opex-ratio improvement in FY2027 from AI-driven efficiency. This is the real backdrop this project's illustrative scorecard is modeling a simplified version of.</t>
  </si>
  <si>
    <t xml:space="preserve">ILLUSTRATIVE CREDIT SCORECARD — 8-FACTOR POINTS-BASED FRAMEWORK</t>
  </si>
  <si>
    <t xml:space="preserve">This is an illustrative framework built for this project, not Bajaj Finance's actual proprietary scorecard (which is confidential). Factor selection and weights reflect standard NBFC/fintech underwriting practice; the model is calibrated against Bajaj Finance's real disclosed portfolio-level asset quality on the Portfolio Simulation tab.</t>
  </si>
  <si>
    <t xml:space="preserve">1. Net Monthly Income (₹)</t>
  </si>
  <si>
    <t xml:space="preserve">  &lt; 25,000</t>
  </si>
  <si>
    <t xml:space="preserve">  25,000 – 50,000</t>
  </si>
  <si>
    <t xml:space="preserve">  50,000 – 100,000</t>
  </si>
  <si>
    <t xml:space="preserve">  100,000 – 200,000</t>
  </si>
  <si>
    <t xml:space="preserve">  &gt; 200,000</t>
  </si>
  <si>
    <t xml:space="preserve">2. Debt-to-Income Ratio (existing EMI/income)</t>
  </si>
  <si>
    <t xml:space="preserve">  &gt; 50%</t>
  </si>
  <si>
    <t xml:space="preserve">  35–50%</t>
  </si>
  <si>
    <t xml:space="preserve">  20–35%</t>
  </si>
  <si>
    <t xml:space="preserve">  &lt; 20%</t>
  </si>
  <si>
    <t xml:space="preserve">3. Bureau Score (CIBIL-style, 300–900)</t>
  </si>
  <si>
    <t xml:space="preserve">  &lt; 650</t>
  </si>
  <si>
    <t xml:space="preserve">  650–700</t>
  </si>
  <si>
    <t xml:space="preserve">  700–750</t>
  </si>
  <si>
    <t xml:space="preserve">  750–800</t>
  </si>
  <si>
    <t xml:space="preserve">  &gt; 800</t>
  </si>
  <si>
    <t xml:space="preserve">4. Employment Type</t>
  </si>
  <si>
    <t xml:space="preserve">  Self-employed, informal/no ITR</t>
  </si>
  <si>
    <t xml:space="preserve">  Self-employed professional</t>
  </si>
  <si>
    <t xml:space="preserve">  Salaried, private sector</t>
  </si>
  <si>
    <t xml:space="preserve">  Salaried, government/PSU</t>
  </si>
  <si>
    <t xml:space="preserve">5. Employment / Business Vintage</t>
  </si>
  <si>
    <t xml:space="preserve">  &lt; 1 year</t>
  </si>
  <si>
    <t xml:space="preserve">  1–3 years</t>
  </si>
  <si>
    <t xml:space="preserve">  3–5 years</t>
  </si>
  <si>
    <t xml:space="preserve">  &gt; 5 years</t>
  </si>
  <si>
    <t xml:space="preserve">6. Existing Relationship with Lender</t>
  </si>
  <si>
    <t xml:space="preserve">  New-to-credit (no bureau history)</t>
  </si>
  <si>
    <t xml:space="preserve">  New-to-lender, has bureau history</t>
  </si>
  <si>
    <t xml:space="preserve">  Existing customer, &lt;2 yrs, good standing</t>
  </si>
  <si>
    <t xml:space="preserve">  Existing customer, &gt;2 yrs, good standing</t>
  </si>
  <si>
    <t xml:space="preserve">7. Loan-to-Income Ratio (loan amount / annual income)</t>
  </si>
  <si>
    <t xml:space="preserve">  &gt; 5x</t>
  </si>
  <si>
    <t xml:space="preserve">  3–5x</t>
  </si>
  <si>
    <t xml:space="preserve">  1.5–3x</t>
  </si>
  <si>
    <t xml:space="preserve">  &lt; 1.5x</t>
  </si>
  <si>
    <t xml:space="preserve">8. Digital Footprint / Alternative Data Score</t>
  </si>
  <si>
    <t xml:space="preserve">  Weak (irregular bill/UPI activity)</t>
  </si>
  <si>
    <t xml:space="preserve">  Moderate</t>
  </si>
  <si>
    <t xml:space="preserve">  Strong (consistent digital transaction history)</t>
  </si>
  <si>
    <t xml:space="preserve">Maximum Possible Score</t>
  </si>
  <si>
    <t xml:space="preserve">Risk Bands &amp; Decisioning</t>
  </si>
  <si>
    <t xml:space="preserve">Tier</t>
  </si>
  <si>
    <t xml:space="preserve">Score Range</t>
  </si>
  <si>
    <t xml:space="preserve">Decision</t>
  </si>
  <si>
    <t xml:space="preserve">Indicative Pricing</t>
  </si>
  <si>
    <t xml:space="preserve">A — Prime</t>
  </si>
  <si>
    <t xml:space="preserve">220–280</t>
  </si>
  <si>
    <t xml:space="preserve">Approve, highest limits</t>
  </si>
  <si>
    <t xml:space="preserve">~13% p.a.</t>
  </si>
  <si>
    <t xml:space="preserve">B — Near-Prime</t>
  </si>
  <si>
    <t xml:space="preserve">170–219</t>
  </si>
  <si>
    <t xml:space="preserve">Approve</t>
  </si>
  <si>
    <t xml:space="preserve">~16% p.a.</t>
  </si>
  <si>
    <t xml:space="preserve">C — Subprime</t>
  </si>
  <si>
    <t xml:space="preserve">120–169</t>
  </si>
  <si>
    <t xml:space="preserve">Approve, tighter limits</t>
  </si>
  <si>
    <t xml:space="preserve">~21% p.a.</t>
  </si>
  <si>
    <t xml:space="preserve">D — High-Risk</t>
  </si>
  <si>
    <t xml:space="preserve">80–119</t>
  </si>
  <si>
    <t xml:space="preserve">Approve, restricted limits</t>
  </si>
  <si>
    <t xml:space="preserve">~27% p.a.</t>
  </si>
  <si>
    <t xml:space="preserve">Reject</t>
  </si>
  <si>
    <t xml:space="preserve">&lt; 80</t>
  </si>
  <si>
    <t xml:space="preserve">Decline</t>
  </si>
  <si>
    <t xml:space="preserve">SYNTHETIC APPLICANT POOL — SIMULATION &amp; CALIBRATION AGAINST REAL BFL METRICS</t>
  </si>
  <si>
    <t xml:space="preserve">10,000 illustrative applicants distributed across tiers, calibrated so the blended portfolio default rate lands close to Bajaj Finance's real disclosed credit cost (validation, not a coincidence to hide).</t>
  </si>
  <si>
    <t xml:space="preserve">Applicant Share</t>
  </si>
  <si>
    <t xml:space="preserve"># Applicants (of 10,000)</t>
  </si>
  <si>
    <t xml:space="preserve">Assumed PD</t>
  </si>
  <si>
    <t xml:space="preserve">Assumed Rate</t>
  </si>
  <si>
    <t xml:space="preserve">Expected Defaults</t>
  </si>
  <si>
    <t xml:space="preserve">Book Share (of approved)</t>
  </si>
  <si>
    <t xml:space="preserve">Total</t>
  </si>
  <si>
    <t xml:space="preserve">Portfolio-Level Output</t>
  </si>
  <si>
    <t xml:space="preserve">Blended Portfolio PD (approved book)</t>
  </si>
  <si>
    <t xml:space="preserve">  vs. Bajaj Finance actual (ex-overlay)</t>
  </si>
  <si>
    <t xml:space="preserve">  Gap</t>
  </si>
  <si>
    <t xml:space="preserve">PER-LOAN UNIT ECONOMICS BY RISK TIER</t>
  </si>
  <si>
    <t xml:space="preserve">Illustrative average ticket size and cost-of-funds assumption, applied to the scorecard's tier structure. Opex ratio anchored to Bajaj Finance's real disclosed 33.4% opex/net-total-income.</t>
  </si>
  <si>
    <t xml:space="preserve">Assumption</t>
  </si>
  <si>
    <t xml:space="preserve">Value</t>
  </si>
  <si>
    <t xml:space="preserve">Average Ticket Size (₹)</t>
  </si>
  <si>
    <t xml:space="preserve">Cost of Funds</t>
  </si>
  <si>
    <t xml:space="preserve">Opex % of AUM (approx., derived)</t>
  </si>
  <si>
    <t xml:space="preserve">Contribution Margin by Tier (per average ₹150,000 loan)</t>
  </si>
  <si>
    <t xml:space="preserve">Interest Income</t>
  </si>
  <si>
    <t xml:space="preserve">Funding Cost</t>
  </si>
  <si>
    <t xml:space="preserve">Opex</t>
  </si>
  <si>
    <t xml:space="preserve">Credit Cost</t>
  </si>
  <si>
    <t xml:space="preserve">Contribution</t>
  </si>
  <si>
    <t xml:space="preserve">Blended (portfolio-weighted)</t>
  </si>
  <si>
    <t xml:space="preserve">  as % of ticket size</t>
  </si>
  <si>
    <t xml:space="preserve">  vs. BFL guided ROA (4.3-4.7%)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</si>
</sst>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0%"/>
    <numFmt numFmtId="167" formatCode="\₹#,##0;&quot;(₹&quot;#,##0\);\-"/>
    <numFmt numFmtId="168" formatCode="#,##0;\(#,##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00FF"/>
      <name val="Cambria"/>
      <family val="0"/>
      <charset val="1"/>
    </font>
    <font>
      <sz val="11"/>
      <color rgb="FF0000FF"/>
      <name val="Cambria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Contribution per Loan by Risk Tier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b2a4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Summary!$A$12:$A$15</c:f>
              <c:strCache>
                <c:ptCount val="4"/>
                <c:pt idx="0">
                  <c:v>A (Prime)</c:v>
                </c:pt>
                <c:pt idx="1">
                  <c:v>B (Near-Prime)</c:v>
                </c:pt>
                <c:pt idx="2">
                  <c:v>C (Subprime)</c:v>
                </c:pt>
                <c:pt idx="3">
                  <c:v>D (High-Risk)</c:v>
                </c:pt>
              </c:strCache>
            </c:strRef>
          </c:cat>
          <c:val>
            <c:numRef>
              <c:f>Summary!$B$12:$B$15</c:f>
              <c:numCache>
                <c:formatCode>\₹#,##0;"(₹"#,##0\);\-</c:formatCode>
                <c:ptCount val="4"/>
                <c:pt idx="0">
                  <c:v>600</c:v>
                </c:pt>
                <c:pt idx="1">
                  <c:v>4200</c:v>
                </c:pt>
                <c:pt idx="2">
                  <c:v>9300</c:v>
                </c:pt>
                <c:pt idx="3">
                  <c:v>13050</c:v>
                </c:pt>
              </c:numCache>
            </c:numRef>
          </c:val>
        </c:ser>
        <c:gapWidth val="150"/>
        <c:overlap val="0"/>
        <c:axId val="87944419"/>
        <c:axId val="30680753"/>
      </c:barChart>
      <c:catAx>
        <c:axId val="879444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80753"/>
        <c:crosses val="autoZero"/>
        <c:auto val="1"/>
        <c:lblAlgn val="ctr"/>
        <c:lblOffset val="100"/>
        <c:noMultiLvlLbl val="0"/>
      </c:catAx>
      <c:valAx>
        <c:axId val="306807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Contribution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444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160920</xdr:rowOff>
    </xdr:from>
    <xdr:to>
      <xdr:col>10</xdr:col>
      <xdr:colOff>587880</xdr:colOff>
      <xdr:row>18</xdr:row>
      <xdr:rowOff>13320</xdr:rowOff>
    </xdr:to>
    <xdr:graphicFrame>
      <xdr:nvGraphicFramePr>
        <xdr:cNvPr id="0" name="Chart 1"/>
        <xdr:cNvGraphicFramePr/>
      </xdr:nvGraphicFramePr>
      <xdr:xfrm>
        <a:off x="422928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8.35" hidden="false" customHeight="false" outlineLevel="0" collapsed="false">
      <c r="A5" s="3" t="s">
        <v>3</v>
      </c>
      <c r="B5" s="3" t="s">
        <v>4</v>
      </c>
      <c r="C5" s="3" t="s">
        <v>5</v>
      </c>
    </row>
    <row r="6" customFormat="false" ht="15" hidden="false" customHeight="false" outlineLevel="0" collapsed="false">
      <c r="A6" s="4" t="s">
        <v>6</v>
      </c>
      <c r="B6" s="5" t="n">
        <f aca="false">'Portfolio Simulation'!B13</f>
        <v>0.98</v>
      </c>
      <c r="C6" s="6"/>
    </row>
    <row r="7" customFormat="false" ht="15" hidden="false" customHeight="false" outlineLevel="0" collapsed="false">
      <c r="A7" s="7" t="s">
        <v>7</v>
      </c>
      <c r="B7" s="8" t="n">
        <f aca="false">'Portfolio Simulation'!B14</f>
        <v>0.0135510204081633</v>
      </c>
      <c r="C7" s="9" t="n">
        <f aca="false">'Company Context'!B15</f>
        <v>0.0131</v>
      </c>
    </row>
    <row r="8" customFormat="false" ht="15" hidden="false" customHeight="false" outlineLevel="0" collapsed="false">
      <c r="A8" s="4" t="s">
        <v>8</v>
      </c>
      <c r="B8" s="9" t="n">
        <f aca="false">'Portfolio Simulation'!B17</f>
        <v>0.167755102040816</v>
      </c>
      <c r="C8" s="6"/>
    </row>
    <row r="9" customFormat="false" ht="15" hidden="false" customHeight="false" outlineLevel="0" collapsed="false">
      <c r="A9" s="4" t="s">
        <v>9</v>
      </c>
      <c r="B9" s="9" t="n">
        <f aca="false">'Unit Economics'!B16</f>
        <v>0.0312040816326531</v>
      </c>
      <c r="C9" s="6"/>
    </row>
    <row r="11" customFormat="false" ht="15" hidden="false" customHeight="false" outlineLevel="0" collapsed="false">
      <c r="A11" s="10" t="s">
        <v>10</v>
      </c>
      <c r="B11" s="11"/>
    </row>
    <row r="12" customFormat="false" ht="15" hidden="false" customHeight="false" outlineLevel="0" collapsed="false">
      <c r="A12" s="0" t="s">
        <v>11</v>
      </c>
      <c r="B12" s="12" t="n">
        <f aca="false">'Unit Economics'!F11</f>
        <v>600</v>
      </c>
    </row>
    <row r="13" customFormat="false" ht="15" hidden="false" customHeight="false" outlineLevel="0" collapsed="false">
      <c r="A13" s="0" t="s">
        <v>12</v>
      </c>
      <c r="B13" s="12" t="n">
        <f aca="false">'Unit Economics'!F12</f>
        <v>4200</v>
      </c>
    </row>
    <row r="14" customFormat="false" ht="15" hidden="false" customHeight="false" outlineLevel="0" collapsed="false">
      <c r="A14" s="0" t="s">
        <v>13</v>
      </c>
      <c r="B14" s="12" t="n">
        <f aca="false">'Unit Economics'!F13</f>
        <v>9300</v>
      </c>
    </row>
    <row r="15" customFormat="false" ht="15" hidden="false" customHeight="false" outlineLevel="0" collapsed="false">
      <c r="A15" s="0" t="s">
        <v>14</v>
      </c>
      <c r="B15" s="12" t="n">
        <f aca="false">'Unit Economics'!F14</f>
        <v>13050</v>
      </c>
    </row>
    <row r="29" customFormat="false" ht="15" hidden="false" customHeight="false" outlineLevel="0" collapsed="false">
      <c r="A29" s="13" t="s">
        <v>15</v>
      </c>
    </row>
    <row r="30" customFormat="false" ht="15" hidden="false" customHeight="true" outlineLevel="0" collapsed="false">
      <c r="A30" s="14" t="s">
        <v>16</v>
      </c>
      <c r="B30" s="14"/>
      <c r="C30" s="14"/>
      <c r="D30" s="14"/>
      <c r="E30" s="14"/>
    </row>
    <row r="31" customFormat="false" ht="15" hidden="false" customHeight="false" outlineLevel="0" collapsed="false">
      <c r="A31" s="14"/>
      <c r="B31" s="14"/>
      <c r="C31" s="14"/>
      <c r="D31" s="14"/>
      <c r="E31" s="14"/>
    </row>
    <row r="32" customFormat="false" ht="15" hidden="false" customHeight="false" outlineLevel="0" collapsed="false">
      <c r="A32" s="14"/>
      <c r="B32" s="14"/>
      <c r="C32" s="14"/>
      <c r="D32" s="14"/>
      <c r="E32" s="14"/>
    </row>
    <row r="33" customFormat="false" ht="15" hidden="false" customHeight="false" outlineLevel="0" collapsed="false">
      <c r="A33" s="14"/>
      <c r="B33" s="14"/>
      <c r="C33" s="14"/>
      <c r="D33" s="14"/>
      <c r="E33" s="14"/>
    </row>
    <row r="34" customFormat="false" ht="15" hidden="false" customHeight="false" outlineLevel="0" collapsed="false">
      <c r="A34" s="14"/>
      <c r="B34" s="14"/>
      <c r="C34" s="14"/>
      <c r="D34" s="14"/>
      <c r="E34" s="14"/>
    </row>
    <row r="35" customFormat="false" ht="15" hidden="false" customHeight="false" outlineLevel="0" collapsed="false">
      <c r="A35" s="14"/>
      <c r="B35" s="14"/>
      <c r="C35" s="14"/>
      <c r="D35" s="14"/>
      <c r="E35" s="14"/>
    </row>
    <row r="36" customFormat="false" ht="15" hidden="false" customHeight="false" outlineLevel="0" collapsed="false">
      <c r="A36" s="14"/>
      <c r="B36" s="14"/>
      <c r="C36" s="14"/>
      <c r="D36" s="14"/>
      <c r="E36" s="14"/>
    </row>
    <row r="37" customFormat="false" ht="15" hidden="false" customHeight="false" outlineLevel="0" collapsed="false">
      <c r="A37" s="14"/>
      <c r="B37" s="14"/>
      <c r="C37" s="14"/>
      <c r="D37" s="14"/>
      <c r="E37" s="14"/>
    </row>
    <row r="38" customFormat="false" ht="15" hidden="false" customHeight="false" outlineLevel="0" collapsed="false">
      <c r="A38" s="14"/>
      <c r="B38" s="14"/>
      <c r="C38" s="14"/>
      <c r="D38" s="14"/>
      <c r="E38" s="14"/>
    </row>
  </sheetData>
  <mergeCells count="2">
    <mergeCell ref="A1:E1"/>
    <mergeCell ref="A30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" t="s">
        <v>17</v>
      </c>
      <c r="B1" s="1"/>
      <c r="C1" s="1"/>
    </row>
    <row r="2" customFormat="false" ht="15" hidden="false" customHeight="false" outlineLevel="0" collapsed="false">
      <c r="A2" s="2" t="s">
        <v>18</v>
      </c>
    </row>
    <row r="4" customFormat="false" ht="28.35" hidden="false" customHeight="false" outlineLevel="0" collapsed="false">
      <c r="A4" s="3" t="s">
        <v>3</v>
      </c>
      <c r="B4" s="3" t="s">
        <v>19</v>
      </c>
      <c r="C4" s="3" t="s">
        <v>20</v>
      </c>
    </row>
    <row r="5" customFormat="false" ht="15" hidden="false" customHeight="false" outlineLevel="0" collapsed="false">
      <c r="A5" s="7" t="s">
        <v>21</v>
      </c>
      <c r="B5" s="15" t="n">
        <v>546944</v>
      </c>
      <c r="C5" s="15" t="n">
        <v>441000</v>
      </c>
    </row>
    <row r="6" customFormat="false" ht="15" hidden="false" customHeight="false" outlineLevel="0" collapsed="false">
      <c r="A6" s="4" t="s">
        <v>22</v>
      </c>
      <c r="B6" s="16" t="n">
        <v>0.239</v>
      </c>
      <c r="C6" s="6"/>
    </row>
    <row r="7" customFormat="false" ht="15" hidden="false" customHeight="false" outlineLevel="0" collapsed="false">
      <c r="A7" s="4" t="s">
        <v>23</v>
      </c>
      <c r="B7" s="17" t="n">
        <v>16.13</v>
      </c>
      <c r="C7" s="17" t="n">
        <v>13.49</v>
      </c>
    </row>
    <row r="8" customFormat="false" ht="15" hidden="false" customHeight="false" outlineLevel="0" collapsed="false">
      <c r="A8" s="4" t="s">
        <v>24</v>
      </c>
      <c r="B8" s="17" t="n">
        <v>5</v>
      </c>
      <c r="C8" s="6" t="s">
        <v>25</v>
      </c>
    </row>
    <row r="9" customFormat="false" ht="15" hidden="false" customHeight="false" outlineLevel="0" collapsed="false">
      <c r="A9" s="7" t="s">
        <v>26</v>
      </c>
      <c r="B9" s="15" t="n">
        <v>5986</v>
      </c>
      <c r="C9" s="15" t="n">
        <v>4700</v>
      </c>
    </row>
    <row r="10" customFormat="false" ht="15" hidden="false" customHeight="false" outlineLevel="0" collapsed="false">
      <c r="A10" s="4" t="s">
        <v>27</v>
      </c>
      <c r="B10" s="18" t="n">
        <v>12571</v>
      </c>
      <c r="C10" s="18" t="n">
        <v>10228</v>
      </c>
    </row>
    <row r="11" customFormat="false" ht="15" hidden="false" customHeight="false" outlineLevel="0" collapsed="false">
      <c r="A11" s="4" t="s">
        <v>28</v>
      </c>
      <c r="B11" s="18" t="n">
        <v>15224</v>
      </c>
      <c r="C11" s="6" t="s">
        <v>25</v>
      </c>
    </row>
    <row r="12" customFormat="false" ht="15" hidden="false" customHeight="false" outlineLevel="0" collapsed="false">
      <c r="A12" s="4" t="s">
        <v>29</v>
      </c>
      <c r="B12" s="19" t="n">
        <v>0.0096</v>
      </c>
      <c r="C12" s="19" t="n">
        <v>0.0103</v>
      </c>
    </row>
    <row r="13" customFormat="false" ht="15" hidden="false" customHeight="false" outlineLevel="0" collapsed="false">
      <c r="A13" s="4" t="s">
        <v>30</v>
      </c>
      <c r="B13" s="19" t="n">
        <v>0.0039</v>
      </c>
      <c r="C13" s="19" t="n">
        <v>0.005</v>
      </c>
    </row>
    <row r="14" customFormat="false" ht="15" hidden="false" customHeight="false" outlineLevel="0" collapsed="false">
      <c r="A14" s="4" t="s">
        <v>31</v>
      </c>
      <c r="B14" s="16" t="n">
        <v>0.6</v>
      </c>
      <c r="C14" s="6" t="s">
        <v>25</v>
      </c>
    </row>
    <row r="15" customFormat="false" ht="15" hidden="false" customHeight="false" outlineLevel="0" collapsed="false">
      <c r="A15" s="4" t="s">
        <v>32</v>
      </c>
      <c r="B15" s="19" t="n">
        <v>0.0131</v>
      </c>
      <c r="C15" s="6"/>
    </row>
    <row r="16" customFormat="false" ht="15" hidden="false" customHeight="false" outlineLevel="0" collapsed="false">
      <c r="A16" s="4" t="s">
        <v>33</v>
      </c>
      <c r="B16" s="16" t="n">
        <v>0.204</v>
      </c>
      <c r="C16" s="6" t="s">
        <v>25</v>
      </c>
    </row>
    <row r="17" customFormat="false" ht="15" hidden="false" customHeight="false" outlineLevel="0" collapsed="false">
      <c r="A17" s="4" t="s">
        <v>34</v>
      </c>
      <c r="B17" s="16" t="n">
        <v>0.209</v>
      </c>
      <c r="C17" s="6" t="s">
        <v>25</v>
      </c>
    </row>
    <row r="18" customFormat="false" ht="15" hidden="false" customHeight="false" outlineLevel="0" collapsed="false">
      <c r="A18" s="4" t="s">
        <v>35</v>
      </c>
      <c r="B18" s="16" t="n">
        <v>0.334</v>
      </c>
      <c r="C18" s="16" t="n">
        <v>0.331</v>
      </c>
    </row>
    <row r="20" customFormat="false" ht="15" hidden="false" customHeight="false" outlineLevel="0" collapsed="false">
      <c r="A20" s="10" t="s">
        <v>36</v>
      </c>
      <c r="B20" s="11"/>
      <c r="C20" s="11"/>
    </row>
    <row r="21" customFormat="false" ht="15" hidden="false" customHeight="false" outlineLevel="0" collapsed="false">
      <c r="A21" s="20" t="s">
        <v>37</v>
      </c>
      <c r="B21" s="21" t="s">
        <v>38</v>
      </c>
    </row>
    <row r="22" customFormat="false" ht="15" hidden="false" customHeight="false" outlineLevel="0" collapsed="false">
      <c r="A22" s="20" t="s">
        <v>39</v>
      </c>
      <c r="B22" s="21" t="s">
        <v>40</v>
      </c>
    </row>
    <row r="23" customFormat="false" ht="15" hidden="false" customHeight="false" outlineLevel="0" collapsed="false">
      <c r="A23" s="20" t="s">
        <v>41</v>
      </c>
      <c r="B23" s="21" t="s">
        <v>42</v>
      </c>
    </row>
    <row r="24" customFormat="false" ht="15" hidden="false" customHeight="false" outlineLevel="0" collapsed="false">
      <c r="A24" s="20" t="s">
        <v>43</v>
      </c>
      <c r="B24" s="21" t="s">
        <v>44</v>
      </c>
    </row>
    <row r="26" customFormat="false" ht="15" hidden="false" customHeight="false" outlineLevel="0" collapsed="false">
      <c r="A26" s="10" t="s">
        <v>45</v>
      </c>
      <c r="B26" s="11"/>
      <c r="C26" s="11"/>
    </row>
    <row r="27" customFormat="false" ht="15" hidden="false" customHeight="true" outlineLevel="0" collapsed="false">
      <c r="A27" s="22" t="s">
        <v>46</v>
      </c>
      <c r="B27" s="22"/>
      <c r="C27" s="22"/>
    </row>
    <row r="28" customFormat="false" ht="15" hidden="false" customHeight="false" outlineLevel="0" collapsed="false">
      <c r="A28" s="22"/>
      <c r="B28" s="22"/>
      <c r="C28" s="22"/>
    </row>
    <row r="29" customFormat="false" ht="15" hidden="false" customHeight="false" outlineLevel="0" collapsed="false">
      <c r="A29" s="22"/>
      <c r="B29" s="22"/>
      <c r="C29" s="22"/>
    </row>
    <row r="30" customFormat="false" ht="15" hidden="false" customHeight="false" outlineLevel="0" collapsed="false">
      <c r="A30" s="22"/>
      <c r="B30" s="22"/>
      <c r="C30" s="22"/>
    </row>
  </sheetData>
  <mergeCells count="2">
    <mergeCell ref="A1:C1"/>
    <mergeCell ref="A27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47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7" t="s">
        <v>49</v>
      </c>
      <c r="B4" s="6"/>
      <c r="C4" s="6"/>
      <c r="D4" s="6"/>
    </row>
    <row r="5" customFormat="false" ht="15" hidden="false" customHeight="false" outlineLevel="0" collapsed="false">
      <c r="A5" s="23" t="s">
        <v>50</v>
      </c>
      <c r="B5" s="24" t="n">
        <v>0</v>
      </c>
      <c r="C5" s="6"/>
      <c r="D5" s="6"/>
    </row>
    <row r="6" customFormat="false" ht="15" hidden="false" customHeight="false" outlineLevel="0" collapsed="false">
      <c r="A6" s="23" t="s">
        <v>51</v>
      </c>
      <c r="B6" s="24" t="n">
        <v>10</v>
      </c>
      <c r="C6" s="6"/>
      <c r="D6" s="6"/>
    </row>
    <row r="7" customFormat="false" ht="15" hidden="false" customHeight="false" outlineLevel="0" collapsed="false">
      <c r="A7" s="23" t="s">
        <v>52</v>
      </c>
      <c r="B7" s="24" t="n">
        <v>20</v>
      </c>
      <c r="C7" s="6"/>
      <c r="D7" s="6"/>
    </row>
    <row r="8" customFormat="false" ht="15" hidden="false" customHeight="false" outlineLevel="0" collapsed="false">
      <c r="A8" s="23" t="s">
        <v>53</v>
      </c>
      <c r="B8" s="24" t="n">
        <v>30</v>
      </c>
      <c r="C8" s="6"/>
      <c r="D8" s="6"/>
    </row>
    <row r="9" customFormat="false" ht="15" hidden="false" customHeight="false" outlineLevel="0" collapsed="false">
      <c r="A9" s="23" t="s">
        <v>54</v>
      </c>
      <c r="B9" s="24" t="n">
        <v>40</v>
      </c>
      <c r="C9" s="6"/>
      <c r="D9" s="6"/>
    </row>
    <row r="10" customFormat="false" ht="15" hidden="false" customHeight="false" outlineLevel="0" collapsed="false">
      <c r="A10" s="6"/>
      <c r="B10" s="6"/>
      <c r="C10" s="6"/>
      <c r="D10" s="6"/>
    </row>
    <row r="11" customFormat="false" ht="15" hidden="false" customHeight="false" outlineLevel="0" collapsed="false">
      <c r="A11" s="7" t="s">
        <v>55</v>
      </c>
      <c r="B11" s="6"/>
      <c r="C11" s="6"/>
      <c r="D11" s="6"/>
    </row>
    <row r="12" customFormat="false" ht="15" hidden="false" customHeight="false" outlineLevel="0" collapsed="false">
      <c r="A12" s="23" t="s">
        <v>56</v>
      </c>
      <c r="B12" s="24" t="n">
        <v>0</v>
      </c>
      <c r="C12" s="6"/>
      <c r="D12" s="6"/>
    </row>
    <row r="13" customFormat="false" ht="15" hidden="false" customHeight="false" outlineLevel="0" collapsed="false">
      <c r="A13" s="23" t="s">
        <v>57</v>
      </c>
      <c r="B13" s="24" t="n">
        <v>10</v>
      </c>
      <c r="C13" s="6"/>
      <c r="D13" s="6"/>
    </row>
    <row r="14" customFormat="false" ht="15" hidden="false" customHeight="false" outlineLevel="0" collapsed="false">
      <c r="A14" s="23" t="s">
        <v>58</v>
      </c>
      <c r="B14" s="24" t="n">
        <v>20</v>
      </c>
      <c r="C14" s="6"/>
      <c r="D14" s="6"/>
    </row>
    <row r="15" customFormat="false" ht="15" hidden="false" customHeight="false" outlineLevel="0" collapsed="false">
      <c r="A15" s="23" t="s">
        <v>59</v>
      </c>
      <c r="B15" s="24" t="n">
        <v>30</v>
      </c>
      <c r="C15" s="6"/>
      <c r="D15" s="6"/>
    </row>
    <row r="16" customFormat="false" ht="15" hidden="false" customHeight="false" outlineLevel="0" collapsed="false">
      <c r="A16" s="6"/>
      <c r="B16" s="6"/>
      <c r="C16" s="6"/>
      <c r="D16" s="6"/>
    </row>
    <row r="17" customFormat="false" ht="15" hidden="false" customHeight="false" outlineLevel="0" collapsed="false">
      <c r="A17" s="7" t="s">
        <v>60</v>
      </c>
      <c r="B17" s="6"/>
      <c r="C17" s="6"/>
      <c r="D17" s="6"/>
    </row>
    <row r="18" customFormat="false" ht="15" hidden="false" customHeight="false" outlineLevel="0" collapsed="false">
      <c r="A18" s="23" t="s">
        <v>61</v>
      </c>
      <c r="B18" s="24" t="n">
        <v>0</v>
      </c>
      <c r="C18" s="6"/>
      <c r="D18" s="6"/>
    </row>
    <row r="19" customFormat="false" ht="15" hidden="false" customHeight="false" outlineLevel="0" collapsed="false">
      <c r="A19" s="23" t="s">
        <v>62</v>
      </c>
      <c r="B19" s="24" t="n">
        <v>15</v>
      </c>
      <c r="C19" s="6"/>
      <c r="D19" s="6"/>
    </row>
    <row r="20" customFormat="false" ht="15" hidden="false" customHeight="false" outlineLevel="0" collapsed="false">
      <c r="A20" s="23" t="s">
        <v>63</v>
      </c>
      <c r="B20" s="24" t="n">
        <v>30</v>
      </c>
      <c r="C20" s="6"/>
      <c r="D20" s="6"/>
    </row>
    <row r="21" customFormat="false" ht="15" hidden="false" customHeight="false" outlineLevel="0" collapsed="false">
      <c r="A21" s="23" t="s">
        <v>64</v>
      </c>
      <c r="B21" s="24" t="n">
        <v>45</v>
      </c>
      <c r="C21" s="6"/>
      <c r="D21" s="6"/>
    </row>
    <row r="22" customFormat="false" ht="15" hidden="false" customHeight="false" outlineLevel="0" collapsed="false">
      <c r="A22" s="23" t="s">
        <v>65</v>
      </c>
      <c r="B22" s="24" t="n">
        <v>60</v>
      </c>
      <c r="C22" s="6"/>
      <c r="D22" s="6"/>
    </row>
    <row r="23" customFormat="false" ht="15" hidden="false" customHeight="false" outlineLevel="0" collapsed="false">
      <c r="A23" s="6"/>
      <c r="B23" s="6"/>
      <c r="C23" s="6"/>
      <c r="D23" s="6"/>
    </row>
    <row r="24" customFormat="false" ht="15" hidden="false" customHeight="false" outlineLevel="0" collapsed="false">
      <c r="A24" s="7" t="s">
        <v>66</v>
      </c>
      <c r="B24" s="6"/>
      <c r="C24" s="6"/>
      <c r="D24" s="6"/>
    </row>
    <row r="25" customFormat="false" ht="15" hidden="false" customHeight="false" outlineLevel="0" collapsed="false">
      <c r="A25" s="23" t="s">
        <v>67</v>
      </c>
      <c r="B25" s="24" t="n">
        <v>0</v>
      </c>
      <c r="C25" s="6"/>
      <c r="D25" s="6"/>
    </row>
    <row r="26" customFormat="false" ht="15" hidden="false" customHeight="false" outlineLevel="0" collapsed="false">
      <c r="A26" s="23" t="s">
        <v>68</v>
      </c>
      <c r="B26" s="24" t="n">
        <v>15</v>
      </c>
      <c r="C26" s="6"/>
      <c r="D26" s="6"/>
    </row>
    <row r="27" customFormat="false" ht="15" hidden="false" customHeight="false" outlineLevel="0" collapsed="false">
      <c r="A27" s="23" t="s">
        <v>69</v>
      </c>
      <c r="B27" s="24" t="n">
        <v>20</v>
      </c>
      <c r="C27" s="6"/>
      <c r="D27" s="6"/>
    </row>
    <row r="28" customFormat="false" ht="15" hidden="false" customHeight="false" outlineLevel="0" collapsed="false">
      <c r="A28" s="23" t="s">
        <v>70</v>
      </c>
      <c r="B28" s="24" t="n">
        <v>30</v>
      </c>
      <c r="C28" s="6"/>
      <c r="D28" s="6"/>
    </row>
    <row r="29" customFormat="false" ht="15" hidden="false" customHeight="false" outlineLevel="0" collapsed="false">
      <c r="A29" s="6"/>
      <c r="B29" s="6"/>
      <c r="C29" s="6"/>
      <c r="D29" s="6"/>
    </row>
    <row r="30" customFormat="false" ht="15" hidden="false" customHeight="false" outlineLevel="0" collapsed="false">
      <c r="A30" s="7" t="s">
        <v>71</v>
      </c>
      <c r="B30" s="6"/>
      <c r="C30" s="6"/>
      <c r="D30" s="6"/>
    </row>
    <row r="31" customFormat="false" ht="15" hidden="false" customHeight="false" outlineLevel="0" collapsed="false">
      <c r="A31" s="23" t="s">
        <v>72</v>
      </c>
      <c r="B31" s="24" t="n">
        <v>0</v>
      </c>
      <c r="C31" s="6"/>
      <c r="D31" s="6"/>
    </row>
    <row r="32" customFormat="false" ht="15" hidden="false" customHeight="false" outlineLevel="0" collapsed="false">
      <c r="A32" s="23" t="s">
        <v>73</v>
      </c>
      <c r="B32" s="24" t="n">
        <v>10</v>
      </c>
      <c r="C32" s="6"/>
      <c r="D32" s="6"/>
    </row>
    <row r="33" customFormat="false" ht="15" hidden="false" customHeight="false" outlineLevel="0" collapsed="false">
      <c r="A33" s="23" t="s">
        <v>74</v>
      </c>
      <c r="B33" s="24" t="n">
        <v>20</v>
      </c>
      <c r="C33" s="6"/>
      <c r="D33" s="6"/>
    </row>
    <row r="34" customFormat="false" ht="15" hidden="false" customHeight="false" outlineLevel="0" collapsed="false">
      <c r="A34" s="23" t="s">
        <v>75</v>
      </c>
      <c r="B34" s="24" t="n">
        <v>30</v>
      </c>
      <c r="C34" s="6"/>
      <c r="D34" s="6"/>
    </row>
    <row r="35" customFormat="false" ht="15" hidden="false" customHeight="false" outlineLevel="0" collapsed="false">
      <c r="A35" s="6"/>
      <c r="B35" s="6"/>
      <c r="C35" s="6"/>
      <c r="D35" s="6"/>
    </row>
    <row r="36" customFormat="false" ht="15" hidden="false" customHeight="false" outlineLevel="0" collapsed="false">
      <c r="A36" s="7" t="s">
        <v>76</v>
      </c>
      <c r="B36" s="6"/>
      <c r="C36" s="6"/>
      <c r="D36" s="6"/>
    </row>
    <row r="37" customFormat="false" ht="15" hidden="false" customHeight="false" outlineLevel="0" collapsed="false">
      <c r="A37" s="23" t="s">
        <v>77</v>
      </c>
      <c r="B37" s="24" t="n">
        <v>0</v>
      </c>
      <c r="C37" s="6"/>
      <c r="D37" s="6"/>
    </row>
    <row r="38" customFormat="false" ht="15" hidden="false" customHeight="false" outlineLevel="0" collapsed="false">
      <c r="A38" s="23" t="s">
        <v>78</v>
      </c>
      <c r="B38" s="24" t="n">
        <v>10</v>
      </c>
      <c r="C38" s="6"/>
      <c r="D38" s="6"/>
    </row>
    <row r="39" customFormat="false" ht="15" hidden="false" customHeight="false" outlineLevel="0" collapsed="false">
      <c r="A39" s="23" t="s">
        <v>79</v>
      </c>
      <c r="B39" s="24" t="n">
        <v>20</v>
      </c>
      <c r="C39" s="6"/>
      <c r="D39" s="6"/>
    </row>
    <row r="40" customFormat="false" ht="15" hidden="false" customHeight="false" outlineLevel="0" collapsed="false">
      <c r="A40" s="23" t="s">
        <v>80</v>
      </c>
      <c r="B40" s="24" t="n">
        <v>35</v>
      </c>
      <c r="C40" s="6"/>
      <c r="D40" s="6"/>
    </row>
    <row r="41" customFormat="false" ht="15" hidden="false" customHeight="false" outlineLevel="0" collapsed="false">
      <c r="A41" s="6"/>
      <c r="B41" s="6"/>
      <c r="C41" s="6"/>
      <c r="D41" s="6"/>
    </row>
    <row r="42" customFormat="false" ht="15" hidden="false" customHeight="false" outlineLevel="0" collapsed="false">
      <c r="A42" s="7" t="s">
        <v>81</v>
      </c>
      <c r="B42" s="6"/>
      <c r="C42" s="6"/>
      <c r="D42" s="6"/>
    </row>
    <row r="43" customFormat="false" ht="15" hidden="false" customHeight="false" outlineLevel="0" collapsed="false">
      <c r="A43" s="23" t="s">
        <v>82</v>
      </c>
      <c r="B43" s="24" t="n">
        <v>0</v>
      </c>
      <c r="C43" s="6"/>
      <c r="D43" s="6"/>
    </row>
    <row r="44" customFormat="false" ht="15" hidden="false" customHeight="false" outlineLevel="0" collapsed="false">
      <c r="A44" s="23" t="s">
        <v>83</v>
      </c>
      <c r="B44" s="24" t="n">
        <v>10</v>
      </c>
      <c r="C44" s="6"/>
      <c r="D44" s="6"/>
    </row>
    <row r="45" customFormat="false" ht="15" hidden="false" customHeight="false" outlineLevel="0" collapsed="false">
      <c r="A45" s="23" t="s">
        <v>84</v>
      </c>
      <c r="B45" s="24" t="n">
        <v>20</v>
      </c>
      <c r="C45" s="6"/>
      <c r="D45" s="6"/>
    </row>
    <row r="46" customFormat="false" ht="15" hidden="false" customHeight="false" outlineLevel="0" collapsed="false">
      <c r="A46" s="23" t="s">
        <v>85</v>
      </c>
      <c r="B46" s="24" t="n">
        <v>30</v>
      </c>
      <c r="C46" s="6"/>
      <c r="D46" s="6"/>
    </row>
    <row r="47" customFormat="false" ht="15" hidden="false" customHeight="false" outlineLevel="0" collapsed="false">
      <c r="A47" s="6"/>
      <c r="B47" s="6"/>
      <c r="C47" s="6"/>
      <c r="D47" s="6"/>
    </row>
    <row r="48" customFormat="false" ht="15" hidden="false" customHeight="false" outlineLevel="0" collapsed="false">
      <c r="A48" s="7" t="s">
        <v>86</v>
      </c>
      <c r="B48" s="6"/>
      <c r="C48" s="6"/>
      <c r="D48" s="6"/>
    </row>
    <row r="49" customFormat="false" ht="15" hidden="false" customHeight="false" outlineLevel="0" collapsed="false">
      <c r="A49" s="23" t="s">
        <v>87</v>
      </c>
      <c r="B49" s="24" t="n">
        <v>0</v>
      </c>
      <c r="C49" s="6"/>
      <c r="D49" s="6"/>
    </row>
    <row r="50" customFormat="false" ht="15" hidden="false" customHeight="false" outlineLevel="0" collapsed="false">
      <c r="A50" s="23" t="s">
        <v>88</v>
      </c>
      <c r="B50" s="24" t="n">
        <v>15</v>
      </c>
      <c r="C50" s="6"/>
      <c r="D50" s="6"/>
    </row>
    <row r="51" customFormat="false" ht="15" hidden="false" customHeight="false" outlineLevel="0" collapsed="false">
      <c r="A51" s="23" t="s">
        <v>89</v>
      </c>
      <c r="B51" s="24" t="n">
        <v>25</v>
      </c>
      <c r="C51" s="6"/>
      <c r="D51" s="6"/>
    </row>
    <row r="52" customFormat="false" ht="15" hidden="false" customHeight="false" outlineLevel="0" collapsed="false">
      <c r="A52" s="6"/>
      <c r="B52" s="6"/>
      <c r="C52" s="6"/>
      <c r="D52" s="6"/>
    </row>
    <row r="53" customFormat="false" ht="15" hidden="false" customHeight="false" outlineLevel="0" collapsed="false">
      <c r="A53" s="7" t="s">
        <v>90</v>
      </c>
      <c r="B53" s="25" t="n">
        <v>280</v>
      </c>
      <c r="C53" s="6"/>
      <c r="D53" s="6"/>
    </row>
    <row r="54" customFormat="false" ht="15" hidden="false" customHeight="false" outlineLevel="0" collapsed="false">
      <c r="A54" s="6"/>
      <c r="B54" s="6"/>
      <c r="C54" s="6"/>
      <c r="D54" s="6"/>
    </row>
    <row r="55" customFormat="false" ht="15" hidden="false" customHeight="false" outlineLevel="0" collapsed="false">
      <c r="A55" s="26" t="s">
        <v>91</v>
      </c>
      <c r="B55" s="27"/>
      <c r="C55" s="27"/>
      <c r="D55" s="27"/>
      <c r="E55" s="11"/>
    </row>
    <row r="56" customFormat="false" ht="28.35" hidden="false" customHeight="false" outlineLevel="0" collapsed="false">
      <c r="A56" s="3" t="s">
        <v>92</v>
      </c>
      <c r="B56" s="3" t="s">
        <v>93</v>
      </c>
      <c r="C56" s="3" t="s">
        <v>94</v>
      </c>
      <c r="D56" s="3" t="s">
        <v>95</v>
      </c>
    </row>
    <row r="57" customFormat="false" ht="15" hidden="false" customHeight="false" outlineLevel="0" collapsed="false">
      <c r="A57" s="6" t="s">
        <v>96</v>
      </c>
      <c r="B57" s="6" t="s">
        <v>97</v>
      </c>
      <c r="C57" s="6" t="s">
        <v>98</v>
      </c>
      <c r="D57" s="6" t="s">
        <v>99</v>
      </c>
    </row>
    <row r="58" customFormat="false" ht="15" hidden="false" customHeight="false" outlineLevel="0" collapsed="false">
      <c r="A58" s="6" t="s">
        <v>100</v>
      </c>
      <c r="B58" s="6" t="s">
        <v>101</v>
      </c>
      <c r="C58" s="6" t="s">
        <v>102</v>
      </c>
      <c r="D58" s="6" t="s">
        <v>103</v>
      </c>
    </row>
    <row r="59" customFormat="false" ht="15" hidden="false" customHeight="false" outlineLevel="0" collapsed="false">
      <c r="A59" s="6" t="s">
        <v>104</v>
      </c>
      <c r="B59" s="6" t="s">
        <v>105</v>
      </c>
      <c r="C59" s="6" t="s">
        <v>106</v>
      </c>
      <c r="D59" s="6" t="s">
        <v>107</v>
      </c>
    </row>
    <row r="60" customFormat="false" ht="15" hidden="false" customHeight="false" outlineLevel="0" collapsed="false">
      <c r="A60" s="6" t="s">
        <v>108</v>
      </c>
      <c r="B60" s="6" t="s">
        <v>109</v>
      </c>
      <c r="C60" s="6" t="s">
        <v>110</v>
      </c>
      <c r="D60" s="6" t="s">
        <v>111</v>
      </c>
    </row>
    <row r="61" customFormat="false" ht="15" hidden="false" customHeight="false" outlineLevel="0" collapsed="false">
      <c r="A61" s="6" t="s">
        <v>112</v>
      </c>
      <c r="B61" s="6" t="s">
        <v>113</v>
      </c>
      <c r="C61" s="6" t="s">
        <v>114</v>
      </c>
      <c r="D61" s="6" t="s">
        <v>25</v>
      </c>
    </row>
    <row r="62" customFormat="false" ht="15" hidden="false" customHeight="false" outlineLevel="0" collapsed="false">
      <c r="A62" s="6"/>
      <c r="B62" s="6"/>
      <c r="C62" s="6"/>
      <c r="D62" s="6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5"/>
  </cols>
  <sheetData>
    <row r="1" customFormat="false" ht="17.35" hidden="false" customHeight="false" outlineLevel="0" collapsed="false">
      <c r="A1" s="1" t="s">
        <v>115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116</v>
      </c>
    </row>
    <row r="4" customFormat="false" ht="28.35" hidden="false" customHeight="false" outlineLevel="0" collapsed="false">
      <c r="A4" s="3" t="s">
        <v>92</v>
      </c>
      <c r="B4" s="3" t="s">
        <v>117</v>
      </c>
      <c r="C4" s="3" t="s">
        <v>118</v>
      </c>
      <c r="D4" s="3" t="s">
        <v>119</v>
      </c>
      <c r="E4" s="3" t="s">
        <v>120</v>
      </c>
      <c r="F4" s="3" t="s">
        <v>121</v>
      </c>
      <c r="G4" s="3" t="s">
        <v>122</v>
      </c>
    </row>
    <row r="5" customFormat="false" ht="15" hidden="false" customHeight="false" outlineLevel="0" collapsed="false">
      <c r="A5" s="4" t="s">
        <v>11</v>
      </c>
      <c r="B5" s="16" t="n">
        <v>0.3</v>
      </c>
      <c r="C5" s="28" t="n">
        <f aca="false">B5*10000</f>
        <v>3000</v>
      </c>
      <c r="D5" s="19" t="n">
        <v>0.003</v>
      </c>
      <c r="E5" s="16" t="n">
        <v>0.13</v>
      </c>
      <c r="F5" s="28" t="n">
        <f aca="false">C5*D5</f>
        <v>9</v>
      </c>
      <c r="G5" s="29" t="n">
        <f aca="false">C5/SUM($C$5:$C$8)</f>
        <v>0.306122448979592</v>
      </c>
    </row>
    <row r="6" customFormat="false" ht="15" hidden="false" customHeight="false" outlineLevel="0" collapsed="false">
      <c r="A6" s="4" t="s">
        <v>12</v>
      </c>
      <c r="B6" s="16" t="n">
        <v>0.42</v>
      </c>
      <c r="C6" s="28" t="n">
        <f aca="false">B6*10000</f>
        <v>4200</v>
      </c>
      <c r="D6" s="19" t="n">
        <v>0.009</v>
      </c>
      <c r="E6" s="16" t="n">
        <v>0.16</v>
      </c>
      <c r="F6" s="28" t="n">
        <f aca="false">C6*D6</f>
        <v>37.8</v>
      </c>
      <c r="G6" s="29" t="n">
        <f aca="false">C6/SUM($C$5:$C$8)</f>
        <v>0.428571428571429</v>
      </c>
    </row>
    <row r="7" customFormat="false" ht="15" hidden="false" customHeight="false" outlineLevel="0" collapsed="false">
      <c r="A7" s="4" t="s">
        <v>13</v>
      </c>
      <c r="B7" s="16" t="n">
        <v>0.2</v>
      </c>
      <c r="C7" s="28" t="n">
        <f aca="false">B7*10000</f>
        <v>2000</v>
      </c>
      <c r="D7" s="19" t="n">
        <v>0.025</v>
      </c>
      <c r="E7" s="16" t="n">
        <v>0.21</v>
      </c>
      <c r="F7" s="28" t="n">
        <f aca="false">C7*D7</f>
        <v>50</v>
      </c>
      <c r="G7" s="29" t="n">
        <f aca="false">C7/SUM($C$5:$C$8)</f>
        <v>0.204081632653061</v>
      </c>
    </row>
    <row r="8" customFormat="false" ht="15" hidden="false" customHeight="false" outlineLevel="0" collapsed="false">
      <c r="A8" s="4" t="s">
        <v>14</v>
      </c>
      <c r="B8" s="16" t="n">
        <v>0.06</v>
      </c>
      <c r="C8" s="28" t="n">
        <f aca="false">B8*10000</f>
        <v>600</v>
      </c>
      <c r="D8" s="19" t="n">
        <v>0.06</v>
      </c>
      <c r="E8" s="16" t="n">
        <v>0.27</v>
      </c>
      <c r="F8" s="28" t="n">
        <f aca="false">C8*D8</f>
        <v>36</v>
      </c>
      <c r="G8" s="29" t="n">
        <f aca="false">C8/SUM($C$5:$C$8)</f>
        <v>0.0612244897959184</v>
      </c>
    </row>
    <row r="9" customFormat="false" ht="15" hidden="false" customHeight="false" outlineLevel="0" collapsed="false">
      <c r="A9" s="7" t="s">
        <v>112</v>
      </c>
      <c r="B9" s="16" t="n">
        <v>0.02</v>
      </c>
      <c r="C9" s="28" t="n">
        <f aca="false">B9*10000</f>
        <v>200</v>
      </c>
      <c r="D9" s="6"/>
      <c r="E9" s="6"/>
      <c r="F9" s="6"/>
      <c r="G9" s="6"/>
    </row>
    <row r="10" customFormat="false" ht="15" hidden="false" customHeight="false" outlineLevel="0" collapsed="false">
      <c r="A10" s="7" t="s">
        <v>123</v>
      </c>
      <c r="B10" s="29" t="n">
        <f aca="false">SUM(B5:B9)</f>
        <v>1</v>
      </c>
      <c r="C10" s="28" t="n">
        <f aca="false">SUM(C5:C9)</f>
        <v>10000</v>
      </c>
      <c r="D10" s="6"/>
      <c r="E10" s="6"/>
      <c r="F10" s="6"/>
      <c r="G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</row>
    <row r="12" customFormat="false" ht="15" hidden="false" customHeight="false" outlineLevel="0" collapsed="false">
      <c r="A12" s="26" t="s">
        <v>124</v>
      </c>
      <c r="B12" s="27"/>
      <c r="C12" s="27"/>
      <c r="D12" s="6"/>
      <c r="E12" s="6"/>
      <c r="F12" s="6"/>
      <c r="G12" s="6"/>
    </row>
    <row r="13" customFormat="false" ht="15" hidden="false" customHeight="false" outlineLevel="0" collapsed="false">
      <c r="A13" s="4" t="s">
        <v>6</v>
      </c>
      <c r="B13" s="29" t="n">
        <f aca="false">SUM(C5:C8)/C10</f>
        <v>0.98</v>
      </c>
      <c r="C13" s="6"/>
      <c r="D13" s="6"/>
      <c r="E13" s="6"/>
      <c r="F13" s="6"/>
      <c r="G13" s="6"/>
    </row>
    <row r="14" customFormat="false" ht="15" hidden="false" customHeight="false" outlineLevel="0" collapsed="false">
      <c r="A14" s="7" t="s">
        <v>125</v>
      </c>
      <c r="B14" s="30" t="n">
        <f aca="false">SUM(F5:F8)/SUM(C5:C8)</f>
        <v>0.0135510204081633</v>
      </c>
      <c r="C14" s="6"/>
      <c r="D14" s="6"/>
      <c r="E14" s="6"/>
      <c r="F14" s="6"/>
      <c r="G14" s="6"/>
    </row>
    <row r="15" customFormat="false" ht="15" hidden="false" customHeight="false" outlineLevel="0" collapsed="false">
      <c r="A15" s="4" t="s">
        <v>126</v>
      </c>
      <c r="B15" s="9" t="n">
        <f aca="false">'Company Context'!B15</f>
        <v>0.0131</v>
      </c>
      <c r="C15" s="6"/>
      <c r="D15" s="6"/>
      <c r="E15" s="6"/>
      <c r="F15" s="6"/>
      <c r="G15" s="6"/>
    </row>
    <row r="16" customFormat="false" ht="15" hidden="false" customHeight="false" outlineLevel="0" collapsed="false">
      <c r="A16" s="4" t="s">
        <v>127</v>
      </c>
      <c r="B16" s="31" t="n">
        <f aca="false">B14-B15</f>
        <v>0.000451020408163265</v>
      </c>
      <c r="C16" s="6"/>
      <c r="D16" s="6"/>
      <c r="E16" s="6"/>
      <c r="F16" s="6"/>
      <c r="G16" s="6"/>
    </row>
    <row r="17" customFormat="false" ht="15" hidden="false" customHeight="false" outlineLevel="0" collapsed="false">
      <c r="A17" s="4" t="s">
        <v>8</v>
      </c>
      <c r="B17" s="31" t="n">
        <f aca="false">SUMPRODUCT(C5:C8,E5:E8)/SUM(C5:C8)</f>
        <v>0.167755102040816</v>
      </c>
      <c r="C17" s="6"/>
      <c r="D17" s="6"/>
      <c r="E17" s="6"/>
      <c r="F17" s="6"/>
      <c r="G17" s="6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128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129</v>
      </c>
    </row>
    <row r="4" customFormat="false" ht="15" hidden="false" customHeight="false" outlineLevel="0" collapsed="false">
      <c r="A4" s="3" t="s">
        <v>130</v>
      </c>
      <c r="B4" s="3" t="s">
        <v>131</v>
      </c>
      <c r="C4" s="6"/>
      <c r="D4" s="6"/>
      <c r="E4" s="6"/>
      <c r="F4" s="6"/>
    </row>
    <row r="5" customFormat="false" ht="15" hidden="false" customHeight="false" outlineLevel="0" collapsed="false">
      <c r="A5" s="4" t="s">
        <v>132</v>
      </c>
      <c r="B5" s="18" t="n">
        <v>150000</v>
      </c>
      <c r="C5" s="6"/>
      <c r="D5" s="6"/>
      <c r="E5" s="6"/>
      <c r="F5" s="6"/>
    </row>
    <row r="6" customFormat="false" ht="15" hidden="false" customHeight="false" outlineLevel="0" collapsed="false">
      <c r="A6" s="4" t="s">
        <v>133</v>
      </c>
      <c r="B6" s="16" t="n">
        <v>0.078</v>
      </c>
      <c r="C6" s="6"/>
      <c r="D6" s="6"/>
      <c r="E6" s="6"/>
      <c r="F6" s="6"/>
    </row>
    <row r="7" customFormat="false" ht="15" hidden="false" customHeight="false" outlineLevel="0" collapsed="false">
      <c r="A7" s="4" t="s">
        <v>134</v>
      </c>
      <c r="B7" s="16" t="n">
        <v>0.045</v>
      </c>
      <c r="C7" s="6"/>
      <c r="D7" s="6"/>
      <c r="E7" s="6"/>
      <c r="F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</row>
    <row r="9" customFormat="false" ht="15" hidden="false" customHeight="false" outlineLevel="0" collapsed="false">
      <c r="A9" s="26" t="s">
        <v>135</v>
      </c>
      <c r="B9" s="27"/>
      <c r="C9" s="27"/>
      <c r="D9" s="27"/>
      <c r="E9" s="27"/>
      <c r="F9" s="27"/>
    </row>
    <row r="10" customFormat="false" ht="28.35" hidden="false" customHeight="false" outlineLevel="0" collapsed="false">
      <c r="A10" s="3" t="s">
        <v>92</v>
      </c>
      <c r="B10" s="3" t="s">
        <v>136</v>
      </c>
      <c r="C10" s="3" t="s">
        <v>137</v>
      </c>
      <c r="D10" s="3" t="s">
        <v>138</v>
      </c>
      <c r="E10" s="3" t="s">
        <v>139</v>
      </c>
      <c r="F10" s="3" t="s">
        <v>140</v>
      </c>
    </row>
    <row r="11" customFormat="false" ht="15" hidden="false" customHeight="false" outlineLevel="0" collapsed="false">
      <c r="A11" s="4" t="s">
        <v>11</v>
      </c>
      <c r="B11" s="32" t="n">
        <f aca="false">$B$5*'Portfolio Simulation'!E5</f>
        <v>19500</v>
      </c>
      <c r="C11" s="32" t="n">
        <f aca="false">$B$5*$B$6</f>
        <v>11700</v>
      </c>
      <c r="D11" s="32" t="n">
        <f aca="false">$B$5*$B$7</f>
        <v>6750</v>
      </c>
      <c r="E11" s="32" t="n">
        <f aca="false">$B$5*'Portfolio Simulation'!D5</f>
        <v>450</v>
      </c>
      <c r="F11" s="33" t="n">
        <f aca="false">B11-C11-D11-E11</f>
        <v>600</v>
      </c>
    </row>
    <row r="12" customFormat="false" ht="15" hidden="false" customHeight="false" outlineLevel="0" collapsed="false">
      <c r="A12" s="4" t="s">
        <v>12</v>
      </c>
      <c r="B12" s="32" t="n">
        <f aca="false">$B$5*'Portfolio Simulation'!E6</f>
        <v>24000</v>
      </c>
      <c r="C12" s="32" t="n">
        <f aca="false">$B$5*$B$6</f>
        <v>11700</v>
      </c>
      <c r="D12" s="32" t="n">
        <f aca="false">$B$5*$B$7</f>
        <v>6750</v>
      </c>
      <c r="E12" s="32" t="n">
        <f aca="false">$B$5*'Portfolio Simulation'!D6</f>
        <v>1350</v>
      </c>
      <c r="F12" s="33" t="n">
        <f aca="false">B12-C12-D12-E12</f>
        <v>4200</v>
      </c>
    </row>
    <row r="13" customFormat="false" ht="15" hidden="false" customHeight="false" outlineLevel="0" collapsed="false">
      <c r="A13" s="4" t="s">
        <v>13</v>
      </c>
      <c r="B13" s="32" t="n">
        <f aca="false">$B$5*'Portfolio Simulation'!E7</f>
        <v>31500</v>
      </c>
      <c r="C13" s="32" t="n">
        <f aca="false">$B$5*$B$6</f>
        <v>11700</v>
      </c>
      <c r="D13" s="32" t="n">
        <f aca="false">$B$5*$B$7</f>
        <v>6750</v>
      </c>
      <c r="E13" s="32" t="n">
        <f aca="false">$B$5*'Portfolio Simulation'!D7</f>
        <v>3750</v>
      </c>
      <c r="F13" s="33" t="n">
        <f aca="false">B13-C13-D13-E13</f>
        <v>9300</v>
      </c>
    </row>
    <row r="14" customFormat="false" ht="15" hidden="false" customHeight="false" outlineLevel="0" collapsed="false">
      <c r="A14" s="4" t="s">
        <v>14</v>
      </c>
      <c r="B14" s="32" t="n">
        <f aca="false">$B$5*'Portfolio Simulation'!E8</f>
        <v>40500</v>
      </c>
      <c r="C14" s="32" t="n">
        <f aca="false">$B$5*$B$6</f>
        <v>11700</v>
      </c>
      <c r="D14" s="32" t="n">
        <f aca="false">$B$5*$B$7</f>
        <v>6750</v>
      </c>
      <c r="E14" s="32" t="n">
        <f aca="false">$B$5*'Portfolio Simulation'!D8</f>
        <v>9000</v>
      </c>
      <c r="F14" s="33" t="n">
        <f aca="false">B14-C14-D14-E14</f>
        <v>13050</v>
      </c>
    </row>
    <row r="15" customFormat="false" ht="15" hidden="false" customHeight="false" outlineLevel="0" collapsed="false">
      <c r="A15" s="7" t="s">
        <v>141</v>
      </c>
      <c r="B15" s="32" t="n">
        <f aca="false">$B$5*'Portfolio Simulation'!B17</f>
        <v>25163.2653061225</v>
      </c>
      <c r="C15" s="32" t="n">
        <f aca="false">$B$5*$B$6</f>
        <v>11700</v>
      </c>
      <c r="D15" s="32" t="n">
        <f aca="false">$B$5*$B$7</f>
        <v>6750</v>
      </c>
      <c r="E15" s="32" t="n">
        <f aca="false">$B$5*'Portfolio Simulation'!B14</f>
        <v>2032.65306122449</v>
      </c>
      <c r="F15" s="34" t="n">
        <f aca="false">B15-C15-D15-E15</f>
        <v>4680.61224489796</v>
      </c>
    </row>
    <row r="16" customFormat="false" ht="15" hidden="false" customHeight="false" outlineLevel="0" collapsed="false">
      <c r="A16" s="4" t="s">
        <v>142</v>
      </c>
      <c r="B16" s="31" t="n">
        <f aca="false">F15/$B$5</f>
        <v>0.0312040816326531</v>
      </c>
      <c r="C16" s="6"/>
      <c r="D16" s="6"/>
      <c r="E16" s="6"/>
      <c r="F16" s="6"/>
    </row>
    <row r="17" customFormat="false" ht="15" hidden="false" customHeight="false" outlineLevel="0" collapsed="false">
      <c r="A17" s="35" t="s">
        <v>143</v>
      </c>
      <c r="B17" s="6"/>
      <c r="C17" s="6"/>
      <c r="D17" s="6"/>
      <c r="E17" s="6"/>
      <c r="F17" s="6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2026-09-07T10:40:40Z</dcterms:created>
  <dc:creator>openpyxl</dc:creator>
  <dc:description/>
  <dc:language>en-US</dc:language>
  <cp:lastModifiedBy/>
  <dcterms:modified xsi:type="dcterms:W3CDTF">2026-09-07T10:40:44Z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