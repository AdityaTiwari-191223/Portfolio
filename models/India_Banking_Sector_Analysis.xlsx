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665d1d6dede2c3/Desktop/finance portfolio/"/>
    </mc:Choice>
  </mc:AlternateContent>
  <xr:revisionPtr revIDLastSave="21" documentId="11_D495C568A2367689A3820A4200482EA9BD855B11" xr6:coauthVersionLast="47" xr6:coauthVersionMax="47" xr10:uidLastSave="{A68A22CC-EA58-428F-A19A-6F24429AD04F}"/>
  <bookViews>
    <workbookView xWindow="-108" yWindow="-108" windowWidth="23256" windowHeight="12456" tabRatio="500" firstSheet="2" activeTab="6" xr2:uid="{00000000-000D-0000-FFFF-FFFF00000000}"/>
  </bookViews>
  <sheets>
    <sheet name="Cover" sheetId="1" r:id="rId1"/>
    <sheet name="Industry Overview" sheetId="2" r:id="rId2"/>
    <sheet name="Consolidation &amp; Regulatory" sheetId="3" r:id="rId3"/>
    <sheet name="Bank Data" sheetId="4" r:id="rId4"/>
    <sheet name="Valuation Engine" sheetId="5" r:id="rId5"/>
    <sheet name="SOTP" sheetId="6" r:id="rId6"/>
    <sheet name="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7" l="1"/>
  <c r="C12" i="7"/>
  <c r="C23" i="7" s="1"/>
  <c r="D11" i="7"/>
  <c r="C11" i="7"/>
  <c r="D10" i="7"/>
  <c r="C21" i="7" s="1"/>
  <c r="C10" i="7"/>
  <c r="D9" i="7"/>
  <c r="C20" i="7" s="1"/>
  <c r="C9" i="7"/>
  <c r="D8" i="7"/>
  <c r="C8" i="7"/>
  <c r="D6" i="7"/>
  <c r="C6" i="7"/>
  <c r="C28" i="6"/>
  <c r="E26" i="6"/>
  <c r="E25" i="6"/>
  <c r="E24" i="6"/>
  <c r="E27" i="6" s="1"/>
  <c r="C29" i="6" s="1"/>
  <c r="C19" i="6"/>
  <c r="E17" i="6"/>
  <c r="E16" i="6"/>
  <c r="E18" i="6" s="1"/>
  <c r="C20" i="6" s="1"/>
  <c r="C11" i="6"/>
  <c r="E10" i="6"/>
  <c r="C12" i="6" s="1"/>
  <c r="E9" i="6"/>
  <c r="E8" i="6"/>
  <c r="H32" i="5"/>
  <c r="C32" i="5"/>
  <c r="F32" i="5" s="1"/>
  <c r="H31" i="5"/>
  <c r="F31" i="5"/>
  <c r="E31" i="5"/>
  <c r="C31" i="5"/>
  <c r="H30" i="5"/>
  <c r="C30" i="5"/>
  <c r="C33" i="1" s="1"/>
  <c r="H29" i="5"/>
  <c r="F29" i="5"/>
  <c r="E29" i="5"/>
  <c r="C29" i="5"/>
  <c r="H28" i="5"/>
  <c r="C28" i="5"/>
  <c r="F28" i="5" s="1"/>
  <c r="H27" i="5"/>
  <c r="F27" i="5"/>
  <c r="E27" i="5"/>
  <c r="C27" i="5"/>
  <c r="H26" i="5"/>
  <c r="C26" i="5"/>
  <c r="F26" i="5" s="1"/>
  <c r="H25" i="5"/>
  <c r="F25" i="5"/>
  <c r="E25" i="5"/>
  <c r="C25" i="5"/>
  <c r="H24" i="5"/>
  <c r="D24" i="5"/>
  <c r="C24" i="5"/>
  <c r="F24" i="5" s="1"/>
  <c r="H23" i="5"/>
  <c r="F23" i="5"/>
  <c r="E23" i="5"/>
  <c r="C23" i="5"/>
  <c r="H22" i="5"/>
  <c r="D22" i="5"/>
  <c r="C22" i="5"/>
  <c r="F22" i="5" s="1"/>
  <c r="H21" i="5"/>
  <c r="F21" i="5"/>
  <c r="E21" i="5"/>
  <c r="C21" i="5"/>
  <c r="H20" i="5"/>
  <c r="C20" i="5"/>
  <c r="F20" i="5" s="1"/>
  <c r="H19" i="5"/>
  <c r="F19" i="5"/>
  <c r="E19" i="5"/>
  <c r="C19" i="5"/>
  <c r="H18" i="5"/>
  <c r="C18" i="5"/>
  <c r="C21" i="1" s="1"/>
  <c r="C10" i="5"/>
  <c r="C9" i="5"/>
  <c r="R19" i="4"/>
  <c r="S19" i="4" s="1"/>
  <c r="D32" i="5" s="1"/>
  <c r="R18" i="4"/>
  <c r="S18" i="4" s="1"/>
  <c r="D31" i="5" s="1"/>
  <c r="G31" i="5" s="1"/>
  <c r="R17" i="4"/>
  <c r="S17" i="4" s="1"/>
  <c r="D30" i="5" s="1"/>
  <c r="R16" i="4"/>
  <c r="S16" i="4" s="1"/>
  <c r="D29" i="5" s="1"/>
  <c r="G29" i="5" s="1"/>
  <c r="R15" i="4"/>
  <c r="S15" i="4" s="1"/>
  <c r="D28" i="5" s="1"/>
  <c r="S14" i="4"/>
  <c r="D27" i="5" s="1"/>
  <c r="G27" i="5" s="1"/>
  <c r="R14" i="4"/>
  <c r="S13" i="4"/>
  <c r="D26" i="5" s="1"/>
  <c r="R13" i="4"/>
  <c r="R12" i="4"/>
  <c r="S12" i="4" s="1"/>
  <c r="R11" i="4"/>
  <c r="R10" i="4"/>
  <c r="S10" i="4" s="1"/>
  <c r="D23" i="5" s="1"/>
  <c r="G23" i="5" s="1"/>
  <c r="R9" i="4"/>
  <c r="R8" i="4"/>
  <c r="S8" i="4" s="1"/>
  <c r="D21" i="5" s="1"/>
  <c r="G21" i="5" s="1"/>
  <c r="R7" i="4"/>
  <c r="S7" i="4" s="1"/>
  <c r="D20" i="5" s="1"/>
  <c r="R6" i="4"/>
  <c r="S6" i="4" s="1"/>
  <c r="D19" i="5" s="1"/>
  <c r="G19" i="5" s="1"/>
  <c r="R5" i="4"/>
  <c r="S5" i="4" s="1"/>
  <c r="C35" i="1"/>
  <c r="B35" i="1"/>
  <c r="C34" i="1"/>
  <c r="B34" i="1"/>
  <c r="B33" i="1"/>
  <c r="C32" i="1"/>
  <c r="B32" i="1"/>
  <c r="C31" i="1"/>
  <c r="B31" i="1"/>
  <c r="C30" i="1"/>
  <c r="B30" i="1"/>
  <c r="B29" i="1"/>
  <c r="C28" i="1"/>
  <c r="B28" i="1"/>
  <c r="C27" i="1"/>
  <c r="B27" i="1"/>
  <c r="C26" i="1"/>
  <c r="B26" i="1"/>
  <c r="B25" i="1"/>
  <c r="C24" i="1"/>
  <c r="B24" i="1"/>
  <c r="C23" i="1"/>
  <c r="B23" i="1"/>
  <c r="C22" i="1"/>
  <c r="B22" i="1"/>
  <c r="B21" i="1"/>
  <c r="I27" i="5" l="1"/>
  <c r="D30" i="1" s="1"/>
  <c r="J27" i="5"/>
  <c r="E30" i="1" s="1"/>
  <c r="I29" i="5"/>
  <c r="D32" i="1" s="1"/>
  <c r="J29" i="5"/>
  <c r="E32" i="1" s="1"/>
  <c r="I31" i="5"/>
  <c r="D34" i="1" s="1"/>
  <c r="J31" i="5"/>
  <c r="E34" i="1" s="1"/>
  <c r="C13" i="7"/>
  <c r="C22" i="7" s="1"/>
  <c r="D18" i="5"/>
  <c r="I19" i="5"/>
  <c r="D22" i="1" s="1"/>
  <c r="J19" i="5"/>
  <c r="E22" i="1" s="1"/>
  <c r="G20" i="5"/>
  <c r="I21" i="5"/>
  <c r="D24" i="1" s="1"/>
  <c r="J21" i="5"/>
  <c r="E24" i="1" s="1"/>
  <c r="I23" i="5"/>
  <c r="D26" i="1" s="1"/>
  <c r="J23" i="5"/>
  <c r="E26" i="1" s="1"/>
  <c r="D25" i="5"/>
  <c r="G25" i="5" s="1"/>
  <c r="D13" i="7"/>
  <c r="C15" i="7"/>
  <c r="C25" i="1"/>
  <c r="C29" i="1"/>
  <c r="E18" i="5"/>
  <c r="E20" i="5"/>
  <c r="E22" i="5"/>
  <c r="G22" i="5" s="1"/>
  <c r="E24" i="5"/>
  <c r="G24" i="5" s="1"/>
  <c r="E26" i="5"/>
  <c r="G26" i="5" s="1"/>
  <c r="E28" i="5"/>
  <c r="G28" i="5" s="1"/>
  <c r="E30" i="5"/>
  <c r="E32" i="5"/>
  <c r="G32" i="5" s="1"/>
  <c r="F18" i="5"/>
  <c r="F30" i="5"/>
  <c r="G30" i="5" s="1"/>
  <c r="J30" i="5" l="1"/>
  <c r="E33" i="1" s="1"/>
  <c r="I30" i="5"/>
  <c r="D33" i="1" s="1"/>
  <c r="J32" i="5"/>
  <c r="E35" i="1" s="1"/>
  <c r="I32" i="5"/>
  <c r="D35" i="1" s="1"/>
  <c r="I28" i="5"/>
  <c r="D31" i="1" s="1"/>
  <c r="I26" i="5"/>
  <c r="D29" i="1" s="1"/>
  <c r="J24" i="5"/>
  <c r="E27" i="1" s="1"/>
  <c r="I24" i="5"/>
  <c r="D27" i="1" s="1"/>
  <c r="J22" i="5"/>
  <c r="E25" i="1" s="1"/>
  <c r="I22" i="5"/>
  <c r="D25" i="1" s="1"/>
  <c r="I20" i="5"/>
  <c r="D23" i="1" s="1"/>
  <c r="G18" i="5"/>
  <c r="I25" i="5"/>
  <c r="D28" i="1" s="1"/>
  <c r="J25" i="5"/>
  <c r="E28" i="1" s="1"/>
  <c r="I18" i="5" l="1"/>
  <c r="D21" i="1" s="1"/>
  <c r="J20" i="5"/>
  <c r="E23" i="1" s="1"/>
  <c r="J26" i="5"/>
  <c r="E29" i="1" s="1"/>
  <c r="J28" i="5"/>
  <c r="E31" i="1" s="1"/>
  <c r="J18" i="5" l="1"/>
  <c r="C29" i="7" l="1"/>
  <c r="C28" i="7"/>
  <c r="C27" i="7"/>
  <c r="C26" i="7"/>
  <c r="E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300-000001000000}">
      <text>
        <r>
          <rPr>
            <sz val="10"/>
            <rFont val="Arial"/>
            <family val="2"/>
          </rPr>
          <t>Q1 FY27: ₹30,200cr NII, +11% YoY. Source: Eastern Herald, Aug 28, 2026.</t>
        </r>
      </text>
    </comment>
    <comment ref="F5" authorId="0" shapeId="0" xr:uid="{00000000-0006-0000-0300-00000C000000}">
      <text>
        <r>
          <rPr>
            <sz val="10"/>
            <rFont val="Arial"/>
            <family val="2"/>
          </rPr>
          <t>Q1 FY27 PAT ₹16,930cr, +13% YoY — first NIM inflection in 6 qtrs post-merger.</t>
        </r>
      </text>
    </comment>
    <comment ref="H5" authorId="0" shapeId="0" xr:uid="{00000000-0006-0000-0300-00001B000000}">
      <text>
        <r>
          <rPr>
            <sz val="10"/>
            <rFont val="Arial"/>
            <family val="2"/>
          </rPr>
          <t>NIM inflected positive in Q1 FY27 (first sequential improvement in 6 quarters); exact print not isolated — 3.50% is an approximation. Directional only.</t>
        </r>
      </text>
    </comment>
    <comment ref="I5" authorId="0" shapeId="0" xr:uid="{00000000-0006-0000-0300-000027000000}">
      <text>
        <r>
          <rPr>
            <sz val="10"/>
            <rFont val="Arial"/>
            <family val="2"/>
          </rPr>
          <t>GNPA 1.17%, improved from 1.40% YoY.</t>
        </r>
      </text>
    </comment>
    <comment ref="O5" authorId="0" shapeId="0" xr:uid="{00000000-0006-0000-0300-000042000000}">
      <text>
        <r>
          <rPr>
            <sz val="10"/>
            <rFont val="Arial"/>
            <family val="2"/>
          </rPr>
          <t>Mkt cap ₹10.841 lakh cr, Yahoo Finance ~Aug 19, 2026.</t>
        </r>
      </text>
    </comment>
    <comment ref="P5" authorId="0" shapeId="0" xr:uid="{00000000-0006-0000-0300-000051000000}">
      <text>
        <r>
          <rPr>
            <sz val="10"/>
            <rFont val="Arial"/>
            <family val="2"/>
          </rPr>
          <t>Value Research, Aug 28, 2026.</t>
        </r>
      </text>
    </comment>
    <comment ref="Q5" authorId="0" shapeId="0" xr:uid="{00000000-0006-0000-0300-00005F000000}">
      <text>
        <r>
          <rPr>
            <sz val="10"/>
            <rFont val="Arial"/>
            <family val="2"/>
          </rPr>
          <t>Blinkx.in P/B tracker.</t>
        </r>
      </text>
    </comment>
    <comment ref="F6" authorId="0" shapeId="0" xr:uid="{00000000-0006-0000-0300-00000D000000}">
      <text>
        <r>
          <rPr>
            <sz val="10"/>
            <rFont val="Arial"/>
            <family val="2"/>
          </rPr>
          <t>Q1 FY27 PAT ₹14,805cr, +15.9% YoY — best quarterly profit in 4 years. Source: Outlook Business, Jul 20, 2026.</t>
        </r>
      </text>
    </comment>
    <comment ref="H6" authorId="0" shapeId="0" xr:uid="{00000000-0006-0000-0300-00001C000000}">
      <text>
        <r>
          <rPr>
            <sz val="10"/>
            <rFont val="Arial"/>
            <family val="2"/>
          </rPr>
          <t>Q1 FY27 NIM not isolated this pass; 4.00% approximates FY26 consensus range (~4.09-4.12%). Directional only.</t>
        </r>
      </text>
    </comment>
    <comment ref="I6" authorId="0" shapeId="0" xr:uid="{00000000-0006-0000-0300-000028000000}">
      <text>
        <r>
          <rPr>
            <sz val="10"/>
            <rFont val="Arial"/>
            <family val="2"/>
          </rPr>
          <t>GNPA 1.67% as of Jun 30, 2026; PCR 74.7%.</t>
        </r>
      </text>
    </comment>
    <comment ref="K6" authorId="0" shapeId="0" xr:uid="{00000000-0006-0000-0300-000035000000}">
      <text>
        <r>
          <rPr>
            <sz val="10"/>
            <rFont val="Arial"/>
            <family val="2"/>
          </rPr>
          <t>Consolidated ROA 2.18% — best-in-class. Source: Equentis, Aug 2026.</t>
        </r>
      </text>
    </comment>
    <comment ref="O6" authorId="0" shapeId="0" xr:uid="{00000000-0006-0000-0300-000043000000}">
      <text>
        <r>
          <rPr>
            <sz val="10"/>
            <rFont val="Arial"/>
            <family val="2"/>
          </rPr>
          <t>Mkt cap ₹10.24 lakh cr, Yahoo Finance ~Aug 19, 2026.</t>
        </r>
      </text>
    </comment>
    <comment ref="P6" authorId="0" shapeId="0" xr:uid="{00000000-0006-0000-0300-000052000000}">
      <text>
        <r>
          <rPr>
            <sz val="10"/>
            <rFont val="Arial"/>
            <family val="2"/>
          </rPr>
          <t>Value Research, Aug 28, 2026.</t>
        </r>
      </text>
    </comment>
    <comment ref="F7" authorId="0" shapeId="0" xr:uid="{00000000-0006-0000-0300-00000E000000}">
      <text>
        <r>
          <rPr>
            <sz val="10"/>
            <rFont val="Arial"/>
            <family val="2"/>
          </rPr>
          <t>Q1 FY27 PAT ₹6,390cr, +9% YoY.</t>
        </r>
      </text>
    </comment>
    <comment ref="H7" authorId="0" shapeId="0" xr:uid="{00000000-0006-0000-0300-00001D000000}">
      <text>
        <r>
          <rPr>
            <sz val="10"/>
            <rFont val="Arial"/>
            <family val="2"/>
          </rPr>
          <t>NIM 3.91%, down 8bps QoQ — 4th consecutive quarter of compression. Source: Eastern Herald, Aug 28, 2026.</t>
        </r>
      </text>
    </comment>
    <comment ref="I7" authorId="0" shapeId="0" xr:uid="{00000000-0006-0000-0300-000029000000}">
      <text>
        <r>
          <rPr>
            <sz val="10"/>
            <rFont val="Arial"/>
            <family val="2"/>
          </rPr>
          <t>GNPA 1.28%, improved from 1.54% YoY; PCR 70%.</t>
        </r>
      </text>
    </comment>
    <comment ref="O7" authorId="0" shapeId="0" xr:uid="{00000000-0006-0000-0300-000044000000}">
      <text>
        <r>
          <rPr>
            <sz val="10"/>
            <rFont val="Arial"/>
            <family val="2"/>
          </rPr>
          <t>Mkt cap ~₹3.90-3.92 lakh cr, Yahoo Finance ~Aug 19, 2026.</t>
        </r>
      </text>
    </comment>
    <comment ref="P7" authorId="0" shapeId="0" xr:uid="{00000000-0006-0000-0300-000053000000}">
      <text>
        <r>
          <rPr>
            <sz val="10"/>
            <rFont val="Arial"/>
            <family val="2"/>
          </rPr>
          <t>Motilal Oswal snapshot, ~Jul 9, 2026.</t>
        </r>
      </text>
    </comment>
    <comment ref="F8" authorId="0" shapeId="0" xr:uid="{00000000-0006-0000-0300-00000F000000}">
      <text>
        <r>
          <rPr>
            <sz val="10"/>
            <rFont val="Arial"/>
            <family val="2"/>
          </rPr>
          <t>PAT +18% YoY per Q1 FY27 roundup; absolute figure approximated off a ~₹3,300cr prior-year base — directional, not exact.</t>
        </r>
      </text>
    </comment>
    <comment ref="O8" authorId="0" shapeId="0" xr:uid="{00000000-0006-0000-0300-000045000000}">
      <text>
        <r>
          <rPr>
            <sz val="10"/>
            <rFont val="Arial"/>
            <family val="2"/>
          </rPr>
          <t>Mkt cap ~₹4.18-4.21 lakh cr, Yahoo Finance ~Aug 19, 2026.</t>
        </r>
      </text>
    </comment>
    <comment ref="P8" authorId="0" shapeId="0" xr:uid="{00000000-0006-0000-0300-000054000000}">
      <text>
        <r>
          <rPr>
            <sz val="10"/>
            <rFont val="Arial"/>
            <family val="2"/>
          </rPr>
          <t>Motilal Oswal snapshot, ~Jul 9, 2026.</t>
        </r>
      </text>
    </comment>
    <comment ref="D9" authorId="0" shapeId="0" xr:uid="{00000000-0006-0000-0300-000002000000}">
      <text>
        <r>
          <rPr>
            <sz val="10"/>
            <rFont val="Arial"/>
            <family val="2"/>
          </rPr>
          <t>Q1 FY27 NII ₹4,685cr vs ₹4,640cr Q1FY26. Source: PSU Connect, Jul 22, 2026.</t>
        </r>
      </text>
    </comment>
    <comment ref="F9" authorId="0" shapeId="0" xr:uid="{00000000-0006-0000-0300-000010000000}">
      <text>
        <r>
          <rPr>
            <sz val="10"/>
            <rFont val="Arial"/>
            <family val="2"/>
          </rPr>
          <t>PAT ₹1,037cr, +72% YoY off a depressed prior-year base (post-accounting-lapse recovery).</t>
        </r>
      </text>
    </comment>
    <comment ref="H9" authorId="0" shapeId="0" xr:uid="{00000000-0006-0000-0300-00001E000000}">
      <text>
        <r>
          <rPr>
            <sz val="10"/>
            <rFont val="Arial"/>
            <family val="2"/>
          </rPr>
          <t>NIM improved to 3.57% from 3.46%.</t>
        </r>
      </text>
    </comment>
    <comment ref="I9" authorId="0" shapeId="0" xr:uid="{00000000-0006-0000-0300-00002A000000}">
      <text>
        <r>
          <rPr>
            <sz val="10"/>
            <rFont val="Arial"/>
            <family val="2"/>
          </rPr>
          <t>GNPA 3.25% — highest in this sample, reflecting the bank's 2024-25 accounting/asset-quality issues still working through.</t>
        </r>
      </text>
    </comment>
    <comment ref="L9" authorId="0" shapeId="0" xr:uid="{00000000-0006-0000-0300-00003A000000}">
      <text>
        <r>
          <rPr>
            <sz val="10"/>
            <rFont val="Arial"/>
            <family val="2"/>
          </rPr>
          <t>CRAR 17.15%.</t>
        </r>
      </text>
    </comment>
    <comment ref="O9" authorId="0" shapeId="0" xr:uid="{00000000-0006-0000-0300-000046000000}">
      <text>
        <r>
          <rPr>
            <sz val="10"/>
            <rFont val="Arial"/>
            <family val="2"/>
          </rPr>
          <t>Avg of ₹80,407-82,923cr range, Value Research/Hellobanker, Jul-Aug 2026.</t>
        </r>
      </text>
    </comment>
    <comment ref="Q9" authorId="0" shapeId="0" xr:uid="{00000000-0006-0000-0300-000060000000}">
      <text>
        <r>
          <rPr>
            <sz val="10"/>
            <rFont val="Arial"/>
            <family val="2"/>
          </rPr>
          <t>P/B 1.27x, Value Research.</t>
        </r>
      </text>
    </comment>
    <comment ref="S9" authorId="0" shapeId="0" xr:uid="{00000000-0006-0000-0300-000062000000}">
      <text>
        <r>
          <rPr>
            <sz val="10"/>
            <rFont val="Arial"/>
            <family val="2"/>
          </rPr>
          <t>P/E for this bank is flagged unreliable/volatile (see column P comment) due to earnings-quality noise from recent provisioning cycles — the P/B÷P/E implied-ROE identity is not trustworthy here, so this is deliberately left as N/A rather than feeding a misleading figure into the Valuation Engine.</t>
        </r>
      </text>
    </comment>
    <comment ref="D10" authorId="0" shapeId="0" xr:uid="{00000000-0006-0000-0300-000003000000}">
      <text>
        <r>
          <rPr>
            <sz val="10"/>
            <rFont val="Arial"/>
            <family val="2"/>
          </rPr>
          <t>Q1 FY27 NII ₹2,946cr, +26% YoY.</t>
        </r>
      </text>
    </comment>
    <comment ref="F10" authorId="0" shapeId="0" xr:uid="{00000000-0006-0000-0300-000011000000}">
      <text>
        <r>
          <rPr>
            <sz val="10"/>
            <rFont val="Arial"/>
            <family val="2"/>
          </rPr>
          <t>PAT ₹1,177cr, +37% YoY — record core quarterly profit (ex Mar-26 one-off).</t>
        </r>
      </text>
    </comment>
    <comment ref="I10" authorId="0" shapeId="0" xr:uid="{00000000-0006-0000-0300-00002B000000}">
      <text>
        <r>
          <rPr>
            <sz val="10"/>
            <rFont val="Arial"/>
            <family val="2"/>
          </rPr>
          <t>GNPA 1.52% (record low), NNPA 0.18% (decadal low). PCR 87.37%.</t>
        </r>
      </text>
    </comment>
    <comment ref="L10" authorId="0" shapeId="0" xr:uid="{00000000-0006-0000-0300-00003B000000}">
      <text>
        <r>
          <rPr>
            <sz val="10"/>
            <rFont val="Arial"/>
            <family val="2"/>
          </rPr>
          <t>CRAR 16.97%, Tier-I 15.89%.</t>
        </r>
      </text>
    </comment>
    <comment ref="O10" authorId="0" shapeId="0" xr:uid="{00000000-0006-0000-0300-000047000000}">
      <text>
        <r>
          <rPr>
            <sz val="10"/>
            <rFont val="Arial"/>
            <family val="2"/>
          </rPr>
          <t>Avg of ₹81,721-87,249cr range, Value Research/Marketsmojo, Jul-Aug 2026.</t>
        </r>
      </text>
    </comment>
    <comment ref="P10" authorId="0" shapeId="0" xr:uid="{00000000-0006-0000-0300-000055000000}">
      <text>
        <r>
          <rPr>
            <sz val="10"/>
            <rFont val="Arial"/>
            <family val="2"/>
          </rPr>
          <t>TipRanks, ~Aug 2026.</t>
        </r>
      </text>
    </comment>
    <comment ref="D11" authorId="0" shapeId="0" xr:uid="{00000000-0006-0000-0300-000004000000}">
      <text>
        <r>
          <rPr>
            <sz val="10"/>
            <rFont val="Arial"/>
            <family val="2"/>
          </rPr>
          <t>Q1 FY27 NII ₹5,972cr, +21.1% YoY.</t>
        </r>
      </text>
    </comment>
    <comment ref="F11" authorId="0" shapeId="0" xr:uid="{00000000-0006-0000-0300-000012000000}">
      <text>
        <r>
          <rPr>
            <sz val="10"/>
            <rFont val="Arial"/>
            <family val="2"/>
          </rPr>
          <t>PAT ₹1,075cr, +132% YoY — first quarter above ₹1,000cr.</t>
        </r>
      </text>
    </comment>
    <comment ref="H11" authorId="0" shapeId="0" xr:uid="{00000000-0006-0000-0300-00001F000000}">
      <text>
        <r>
          <rPr>
            <sz val="10"/>
            <rFont val="Arial"/>
            <family val="2"/>
          </rPr>
          <t>NIM 5.96%, up 25bps YoY (higher-yield retail/consumer mix).</t>
        </r>
      </text>
    </comment>
    <comment ref="I11" authorId="0" shapeId="0" xr:uid="{00000000-0006-0000-0300-00002C000000}">
      <text>
        <r>
          <rPr>
            <sz val="10"/>
            <rFont val="Arial"/>
            <family val="2"/>
          </rPr>
          <t>GNPA 1.51%, NNPA 0.44%.</t>
        </r>
      </text>
    </comment>
    <comment ref="K11" authorId="0" shapeId="0" xr:uid="{00000000-0006-0000-0300-000036000000}">
      <text>
        <r>
          <rPr>
            <sz val="10"/>
            <rFont val="Arial"/>
            <family val="2"/>
          </rPr>
          <t>ROA 1.06%, up 52bps YoY.</t>
        </r>
      </text>
    </comment>
    <comment ref="L11" authorId="0" shapeId="0" xr:uid="{00000000-0006-0000-0300-00003C000000}">
      <text>
        <r>
          <rPr>
            <sz val="10"/>
            <rFont val="Arial"/>
            <family val="2"/>
          </rPr>
          <t>CRAR 15.05%, CET1 13.33%.</t>
        </r>
      </text>
    </comment>
    <comment ref="O11" authorId="0" shapeId="0" xr:uid="{00000000-0006-0000-0300-000048000000}">
      <text>
        <r>
          <rPr>
            <sz val="10"/>
            <rFont val="Arial"/>
            <family val="2"/>
          </rPr>
          <t>Avg of ₹69,650-75,440cr range, Value Research/Screener, Jul 2026.</t>
        </r>
      </text>
    </comment>
    <comment ref="P11" authorId="0" shapeId="0" xr:uid="{00000000-0006-0000-0300-000056000000}">
      <text>
        <r>
          <rPr>
            <sz val="10"/>
            <rFont val="Arial"/>
            <family val="2"/>
          </rPr>
          <t>P/E highly volatile across sources (30-42x range depending on trailing EPS base used, given still-recovering ROE) — 35x is a mid-point approximation, not a precise print.</t>
        </r>
      </text>
    </comment>
    <comment ref="S11" authorId="0" shapeId="0" xr:uid="{00000000-0006-0000-0300-000063000000}">
      <text>
        <r>
          <rPr>
            <sz val="10"/>
            <rFont val="Arial"/>
            <family val="2"/>
          </rPr>
          <t>P/E for this bank is flagged unreliable/volatile (see column P comment) due to earnings-quality noise from recent provisioning cycles — the P/B÷P/E implied-ROE identity is not trustworthy here, so this is deliberately left as N/A rather than feeding a misleading figure into the Valuation Engine.</t>
        </r>
      </text>
    </comment>
    <comment ref="D12" authorId="0" shapeId="0" xr:uid="{00000000-0006-0000-0300-000005000000}">
      <text>
        <r>
          <rPr>
            <sz val="10"/>
            <rFont val="Arial"/>
            <family val="2"/>
          </rPr>
          <t>Q1 FY27 NII ₹46,992cr, +14.88% YoY.</t>
        </r>
      </text>
    </comment>
    <comment ref="F12" authorId="0" shapeId="0" xr:uid="{00000000-0006-0000-0300-000013000000}">
      <text>
        <r>
          <rPr>
            <sz val="10"/>
            <rFont val="Arial"/>
            <family val="2"/>
          </rPr>
          <t>Record PAT ₹21,121cr, +10.23% YoY.</t>
        </r>
      </text>
    </comment>
    <comment ref="H12" authorId="0" shapeId="0" xr:uid="{00000000-0006-0000-0300-000020000000}">
      <text>
        <r>
          <rPr>
            <sz val="10"/>
            <rFont val="Arial"/>
            <family val="2"/>
          </rPr>
          <t>Domestic NIM 3.00% (+7bps QoQ); whole-bank NIM 2.86%.</t>
        </r>
      </text>
    </comment>
    <comment ref="I12" authorId="0" shapeId="0" xr:uid="{00000000-0006-0000-0300-00002D000000}">
      <text>
        <r>
          <rPr>
            <sz val="10"/>
            <rFont val="Arial"/>
            <family val="2"/>
          </rPr>
          <t>GNPA 1.47% — lowest in 20+ years.</t>
        </r>
      </text>
    </comment>
    <comment ref="O12" authorId="0" shapeId="0" xr:uid="{00000000-0006-0000-0300-000049000000}">
      <text>
        <r>
          <rPr>
            <sz val="10"/>
            <rFont val="Arial"/>
            <family val="2"/>
          </rPr>
          <t>Mkt cap ~₹9.44-9.51 lakh cr, Yahoo Finance ~Aug 19, 2026.</t>
        </r>
      </text>
    </comment>
    <comment ref="P12" authorId="0" shapeId="0" xr:uid="{00000000-0006-0000-0300-000057000000}">
      <text>
        <r>
          <rPr>
            <sz val="10"/>
            <rFont val="Arial"/>
            <family val="2"/>
          </rPr>
          <t>Investing.com, Aug 7, 2026.</t>
        </r>
      </text>
    </comment>
    <comment ref="D13" authorId="0" shapeId="0" xr:uid="{00000000-0006-0000-0300-000006000000}">
      <text>
        <r>
          <rPr>
            <sz val="10"/>
            <rFont val="Arial"/>
            <family val="2"/>
          </rPr>
          <t>NII ₹10,798cr, +2.1% YoY (below +7% FY27 guidance).</t>
        </r>
      </text>
    </comment>
    <comment ref="F13" authorId="0" shapeId="0" xr:uid="{00000000-0006-0000-0300-000014000000}">
      <text>
        <r>
          <rPr>
            <sz val="10"/>
            <rFont val="Arial"/>
            <family val="2"/>
          </rPr>
          <t>PAT ₹5,253cr, +213.6% YoY — low prior-year provisioning base, not organic.</t>
        </r>
      </text>
    </comment>
    <comment ref="H13" authorId="0" shapeId="0" xr:uid="{00000000-0006-0000-0300-000021000000}">
      <text>
        <r>
          <rPr>
            <sz val="10"/>
            <rFont val="Arial"/>
            <family val="2"/>
          </rPr>
          <t>NIM 2.50%, below 2.60-2.70% FY27 guidance.</t>
        </r>
      </text>
    </comment>
    <comment ref="I13" authorId="0" shapeId="0" xr:uid="{00000000-0006-0000-0300-00002E000000}">
      <text>
        <r>
          <rPr>
            <sz val="10"/>
            <rFont val="Arial"/>
            <family val="2"/>
          </rPr>
          <t>GNPA 2.78% (from 3.78% YoY).</t>
        </r>
      </text>
    </comment>
    <comment ref="K13" authorId="0" shapeId="0" xr:uid="{00000000-0006-0000-0300-000037000000}">
      <text>
        <r>
          <rPr>
            <sz val="10"/>
            <rFont val="Arial"/>
            <family val="2"/>
          </rPr>
          <t>ROA 1.04% (above &gt;1% guidance).</t>
        </r>
      </text>
    </comment>
    <comment ref="L13" authorId="0" shapeId="0" xr:uid="{00000000-0006-0000-0300-00003D000000}">
      <text>
        <r>
          <rPr>
            <sz val="10"/>
            <rFont val="Arial"/>
            <family val="2"/>
          </rPr>
          <t>ROE 17.33%.</t>
        </r>
      </text>
    </comment>
    <comment ref="M13" authorId="0" shapeId="0" xr:uid="{00000000-0006-0000-0300-000041000000}">
      <text>
        <r>
          <rPr>
            <sz val="10"/>
            <rFont val="Arial"/>
            <family val="2"/>
          </rPr>
          <t>CRAR 18.13%.</t>
        </r>
      </text>
    </comment>
    <comment ref="O13" authorId="0" shapeId="0" xr:uid="{00000000-0006-0000-0300-00004A000000}">
      <text>
        <r>
          <rPr>
            <sz val="10"/>
            <rFont val="Arial"/>
            <family val="2"/>
          </rPr>
          <t>Mkt cap ₹1.31-1.34 lakh cr, IndMoney/Bajaj Broking, late Aug 2026.</t>
        </r>
      </text>
    </comment>
    <comment ref="P13" authorId="0" shapeId="0" xr:uid="{00000000-0006-0000-0300-000058000000}">
      <text>
        <r>
          <rPr>
            <sz val="10"/>
            <rFont val="Arial"/>
            <family val="2"/>
          </rPr>
          <t>Bajaj Broking/Kotak Neo, ~Sep 1, 2026.</t>
        </r>
      </text>
    </comment>
    <comment ref="D14" authorId="0" shapeId="0" xr:uid="{00000000-0006-0000-0300-000007000000}">
      <text>
        <r>
          <rPr>
            <sz val="10"/>
            <rFont val="Arial"/>
            <family val="2"/>
          </rPr>
          <t>NII ₹12,524cr, +9.5% YoY.</t>
        </r>
      </text>
    </comment>
    <comment ref="F14" authorId="0" shapeId="0" xr:uid="{00000000-0006-0000-0300-000015000000}">
      <text>
        <r>
          <rPr>
            <sz val="10"/>
            <rFont val="Arial"/>
            <family val="2"/>
          </rPr>
          <t>Reported PAT ₹1,278cr (-72% YoY) — entirely a one-off ₹5,680cr NMC Group litigation settlement; normalized PAT ₹5,528cr (+22% YoY).</t>
        </r>
      </text>
    </comment>
    <comment ref="H14" authorId="0" shapeId="0" xr:uid="{00000000-0006-0000-0300-000022000000}">
      <text>
        <r>
          <rPr>
            <sz val="10"/>
            <rFont val="Arial"/>
            <family val="2"/>
          </rPr>
          <t>Global NIM 2.77%, near low end of 2.75-2.95% guidance.</t>
        </r>
      </text>
    </comment>
    <comment ref="I14" authorId="0" shapeId="0" xr:uid="{00000000-0006-0000-0300-00002F000000}">
      <text>
        <r>
          <rPr>
            <sz val="10"/>
            <rFont val="Arial"/>
            <family val="2"/>
          </rPr>
          <t>GNPA 1.99% (-29bps YoY).</t>
        </r>
      </text>
    </comment>
    <comment ref="K14" authorId="0" shapeId="0" xr:uid="{00000000-0006-0000-0300-000038000000}">
      <text>
        <r>
          <rPr>
            <sz val="10"/>
            <rFont val="Arial"/>
            <family val="2"/>
          </rPr>
          <t>Adjusted ROA 1.06-1.10%.</t>
        </r>
      </text>
    </comment>
    <comment ref="L14" authorId="0" shapeId="0" xr:uid="{00000000-0006-0000-0300-00003E000000}">
      <text>
        <r>
          <rPr>
            <sz val="10"/>
            <rFont val="Arial"/>
            <family val="2"/>
          </rPr>
          <t>ROE 15.38% (16.57% ex one-off).</t>
        </r>
      </text>
    </comment>
    <comment ref="O14" authorId="0" shapeId="0" xr:uid="{00000000-0006-0000-0300-00004B000000}">
      <text>
        <r>
          <rPr>
            <sz val="10"/>
            <rFont val="Arial"/>
            <family val="2"/>
          </rPr>
          <t>Mkt cap ₹1.23 lakh cr, Yahoo Finance ~Aug 19, 2026.</t>
        </r>
      </text>
    </comment>
    <comment ref="P14" authorId="0" shapeId="0" xr:uid="{00000000-0006-0000-0300-000059000000}">
      <text>
        <r>
          <rPr>
            <sz val="10"/>
            <rFont val="Arial"/>
            <family val="2"/>
          </rPr>
          <t>Motilal Oswal snapshot, ~Jul 9, 2026.</t>
        </r>
      </text>
    </comment>
    <comment ref="D15" authorId="0" shapeId="0" xr:uid="{00000000-0006-0000-0300-000008000000}">
      <text>
        <r>
          <rPr>
            <sz val="10"/>
            <rFont val="Arial"/>
            <family val="2"/>
          </rPr>
          <t>NII ₹10,215cr, +13.4% YoY.</t>
        </r>
      </text>
    </comment>
    <comment ref="F15" authorId="0" shapeId="0" xr:uid="{00000000-0006-0000-0300-000016000000}">
      <text>
        <r>
          <rPr>
            <sz val="10"/>
            <rFont val="Arial"/>
            <family val="2"/>
          </rPr>
          <t>PAT ₹4,856cr, +2.2% YoY.</t>
        </r>
      </text>
    </comment>
    <comment ref="H15" authorId="0" shapeId="0" xr:uid="{00000000-0006-0000-0300-000023000000}">
      <text>
        <r>
          <rPr>
            <sz val="10"/>
            <rFont val="Arial"/>
            <family val="2"/>
          </rPr>
          <t>NIM 2.52%, broadly flat YoY.</t>
        </r>
      </text>
    </comment>
    <comment ref="I15" authorId="0" shapeId="0" xr:uid="{00000000-0006-0000-0300-000030000000}">
      <text>
        <r>
          <rPr>
            <sz val="10"/>
            <rFont val="Arial"/>
            <family val="2"/>
          </rPr>
          <t>Not independently verified for Q1 FY27 this pass.</t>
        </r>
      </text>
    </comment>
    <comment ref="O15" authorId="0" shapeId="0" xr:uid="{00000000-0006-0000-0300-00004C000000}">
      <text>
        <r>
          <rPr>
            <sz val="10"/>
            <rFont val="Arial"/>
            <family val="2"/>
          </rPr>
          <t>Mkt cap ₹1.14 lakh cr, Yahoo Finance ~Aug 19, 2026.</t>
        </r>
      </text>
    </comment>
    <comment ref="P15" authorId="0" shapeId="0" xr:uid="{00000000-0006-0000-0300-00005A000000}">
      <text>
        <r>
          <rPr>
            <sz val="10"/>
            <rFont val="Arial"/>
            <family val="2"/>
          </rPr>
          <t>Motilal Oswal snapshot, ~Jul 9, 2026.</t>
        </r>
      </text>
    </comment>
    <comment ref="D16" authorId="0" shapeId="0" xr:uid="{00000000-0006-0000-0300-000009000000}">
      <text>
        <r>
          <rPr>
            <sz val="10"/>
            <rFont val="Arial"/>
            <family val="2"/>
          </rPr>
          <t>NII ₹10,037cr, +10.1% YoY.</t>
        </r>
      </text>
    </comment>
    <comment ref="F16" authorId="0" shapeId="0" xr:uid="{00000000-0006-0000-0300-000017000000}">
      <text>
        <r>
          <rPr>
            <sz val="10"/>
            <rFont val="Arial"/>
            <family val="2"/>
          </rPr>
          <t>PAT ₹5,332cr, +29.5% YoY.</t>
        </r>
      </text>
    </comment>
    <comment ref="H16" authorId="0" shapeId="0" xr:uid="{00000000-0006-0000-0300-000024000000}">
      <text>
        <r>
          <rPr>
            <sz val="10"/>
            <rFont val="Arial"/>
            <family val="2"/>
          </rPr>
          <t>NIM 2.76%, up from 2.64% QoQ.</t>
        </r>
      </text>
    </comment>
    <comment ref="I16" authorId="0" shapeId="0" xr:uid="{00000000-0006-0000-0300-000031000000}">
      <text>
        <r>
          <rPr>
            <sz val="10"/>
            <rFont val="Arial"/>
            <family val="2"/>
          </rPr>
          <t>GNPA 2.65% (from 3.52% YoY); PCR 95.05%.</t>
        </r>
      </text>
    </comment>
    <comment ref="L16" authorId="0" shapeId="0" xr:uid="{00000000-0006-0000-0300-00003F000000}">
      <text>
        <r>
          <rPr>
            <sz val="10"/>
            <rFont val="Arial"/>
            <family val="2"/>
          </rPr>
          <t>CRAR 18.46%.</t>
        </r>
      </text>
    </comment>
    <comment ref="O16" authorId="0" shapeId="0" xr:uid="{00000000-0006-0000-0300-00004D000000}">
      <text>
        <r>
          <rPr>
            <sz val="10"/>
            <rFont val="Arial"/>
            <family val="2"/>
          </rPr>
          <t>Mkt cap ₹1.40 lakh cr, ~Aug 24, 2026 (Value Research).</t>
        </r>
      </text>
    </comment>
    <comment ref="P16" authorId="0" shapeId="0" xr:uid="{00000000-0006-0000-0300-00005B000000}">
      <text>
        <r>
          <rPr>
            <sz val="10"/>
            <rFont val="Arial"/>
            <family val="2"/>
          </rPr>
          <t>Avg of 6.9-7.5x range across sources, ~mid-Aug 2026.</t>
        </r>
      </text>
    </comment>
    <comment ref="Q16" authorId="0" shapeId="0" xr:uid="{00000000-0006-0000-0300-000061000000}">
      <text>
        <r>
          <rPr>
            <sz val="10"/>
            <rFont val="Arial"/>
            <family val="2"/>
          </rPr>
          <t>Avg of 0.90-1.09x range across sources.</t>
        </r>
      </text>
    </comment>
    <comment ref="D17" authorId="0" shapeId="0" xr:uid="{00000000-0006-0000-0300-00000A000000}">
      <text>
        <r>
          <rPr>
            <sz val="10"/>
            <rFont val="Arial"/>
            <family val="2"/>
          </rPr>
          <t>NII ₹7,435cr, +17% YoY.</t>
        </r>
      </text>
    </comment>
    <comment ref="F17" authorId="0" shapeId="0" xr:uid="{00000000-0006-0000-0300-000018000000}">
      <text>
        <r>
          <rPr>
            <sz val="10"/>
            <rFont val="Arial"/>
            <family val="2"/>
          </rPr>
          <t>PAT growth +10% YoY (absolute Q1 FY27 PAT not captured this pass — flagged for follow-up).</t>
        </r>
      </text>
    </comment>
    <comment ref="H17" authorId="0" shapeId="0" xr:uid="{00000000-0006-0000-0300-000025000000}">
      <text>
        <r>
          <rPr>
            <sz val="10"/>
            <rFont val="Arial"/>
            <family val="2"/>
          </rPr>
          <t>Domestic NIM 3.41%, up from 3.35% YoY.</t>
        </r>
      </text>
    </comment>
    <comment ref="I17" authorId="0" shapeId="0" xr:uid="{00000000-0006-0000-0300-000032000000}">
      <text>
        <r>
          <rPr>
            <sz val="10"/>
            <rFont val="Arial"/>
            <family val="2"/>
          </rPr>
          <t>GNPA 1.86% (from 3.01% YoY) — sharpest asset-quality improvement in this sample.</t>
        </r>
      </text>
    </comment>
    <comment ref="O17" authorId="0" shapeId="0" xr:uid="{00000000-0006-0000-0300-00004E000000}">
      <text>
        <r>
          <rPr>
            <sz val="10"/>
            <rFont val="Arial"/>
            <family val="2"/>
          </rPr>
          <t>Avg of ₹1.11-1.17 lakh cr range, BlinkX/TipRanks, Jul-Aug 2026.</t>
        </r>
      </text>
    </comment>
    <comment ref="P17" authorId="0" shapeId="0" xr:uid="{00000000-0006-0000-0300-00005C000000}">
      <text>
        <r>
          <rPr>
            <sz val="10"/>
            <rFont val="Arial"/>
            <family val="2"/>
          </rPr>
          <t>TipRanks, ~Aug 2026.</t>
        </r>
      </text>
    </comment>
    <comment ref="D18" authorId="0" shapeId="0" xr:uid="{00000000-0006-0000-0300-00000B000000}">
      <text>
        <r>
          <rPr>
            <sz val="10"/>
            <rFont val="Arial"/>
            <family val="2"/>
          </rPr>
          <t>NII ₹6,833cr, +12.61% YoY.</t>
        </r>
      </text>
    </comment>
    <comment ref="F18" authorId="0" shapeId="0" xr:uid="{00000000-0006-0000-0300-000019000000}">
      <text>
        <r>
          <rPr>
            <sz val="10"/>
            <rFont val="Arial"/>
            <family val="2"/>
          </rPr>
          <t>PAT ₹3,068cr, +36% YoY — one of its strongest quarters in recent years.</t>
        </r>
      </text>
    </comment>
    <comment ref="I18" authorId="0" shapeId="0" xr:uid="{00000000-0006-0000-0300-000033000000}">
      <text>
        <r>
          <rPr>
            <sz val="10"/>
            <rFont val="Arial"/>
            <family val="2"/>
          </rPr>
          <t>Management cited 'NPAs at new lows' qualitatively — precise GNPA/NNPA % not independently verified this pass.</t>
        </r>
      </text>
    </comment>
    <comment ref="K18" authorId="0" shapeId="0" xr:uid="{00000000-0006-0000-0300-000039000000}">
      <text>
        <r>
          <rPr>
            <sz val="10"/>
            <rFont val="Arial"/>
            <family val="2"/>
          </rPr>
          <t>ROA sustained above 1% (qualitative; precise print not captured this pass).</t>
        </r>
      </text>
    </comment>
    <comment ref="O18" authorId="0" shapeId="0" xr:uid="{00000000-0006-0000-0300-00004F000000}">
      <text>
        <r>
          <rPr>
            <sz val="10"/>
            <rFont val="Arial"/>
            <family val="2"/>
          </rPr>
          <t>Avg of ₹64,671-65,180cr range, TipRanks/CompaniesMarketCap, Jul 2026.</t>
        </r>
      </text>
    </comment>
    <comment ref="P18" authorId="0" shapeId="0" xr:uid="{00000000-0006-0000-0300-00005D000000}">
      <text>
        <r>
          <rPr>
            <sz val="10"/>
            <rFont val="Arial"/>
            <family val="2"/>
          </rPr>
          <t>TipRanks, ~Jul 2026.</t>
        </r>
      </text>
    </comment>
    <comment ref="F19" authorId="0" shapeId="0" xr:uid="{00000000-0006-0000-0300-00001A000000}">
      <text>
        <r>
          <rPr>
            <sz val="10"/>
            <rFont val="Arial"/>
            <family val="2"/>
          </rPr>
          <t>PAT ₹656cr, +8% YoY.</t>
        </r>
      </text>
    </comment>
    <comment ref="H19" authorId="0" shapeId="0" xr:uid="{00000000-0006-0000-0300-000026000000}">
      <text>
        <r>
          <rPr>
            <sz val="10"/>
            <rFont val="Arial"/>
            <family val="2"/>
          </rPr>
          <t>Global NIM 3.05% (+9bps YoY); domestic NIM 3.24%.</t>
        </r>
      </text>
    </comment>
    <comment ref="I19" authorId="0" shapeId="0" xr:uid="{00000000-0006-0000-0300-000034000000}">
      <text>
        <r>
          <rPr>
            <sz val="10"/>
            <rFont val="Arial"/>
            <family val="2"/>
          </rPr>
          <t>GNPA 2.08% (-55bps YoY), NNPA 0.25% (-20bps YoY).</t>
        </r>
      </text>
    </comment>
    <comment ref="L19" authorId="0" shapeId="0" xr:uid="{00000000-0006-0000-0300-000040000000}">
      <text>
        <r>
          <rPr>
            <sz val="10"/>
            <rFont val="Arial"/>
            <family val="2"/>
          </rPr>
          <t>CRAR 19.03%.</t>
        </r>
      </text>
    </comment>
    <comment ref="O19" authorId="0" shapeId="0" xr:uid="{00000000-0006-0000-0300-000050000000}">
      <text>
        <r>
          <rPr>
            <sz val="10"/>
            <rFont val="Arial"/>
            <family val="2"/>
          </rPr>
          <t>Avg of ₹33,318-40,051cr range across snapshots, Goodreturns/TipRanks, Jul-Aug 2026 — wider date spread than other names, treat market cap as more approximate.</t>
        </r>
      </text>
    </comment>
    <comment ref="P19" authorId="0" shapeId="0" xr:uid="{00000000-0006-0000-0300-00005E000000}">
      <text>
        <r>
          <rPr>
            <sz val="10"/>
            <rFont val="Arial"/>
            <family val="2"/>
          </rPr>
          <t>TipRanks, ~Aug 2026 — elevated vs PSU peers, plausible given a smaller earnings base relative to price.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400-000001000000}">
      <text>
        <r>
          <rPr>
            <sz val="10"/>
            <rFont val="Arial"/>
            <family val="2"/>
          </rPr>
          <t>India 10-year government bond yield, ~Aug-Sep 2026 (Trading Economics / Investing.com).</t>
        </r>
      </text>
    </comment>
    <comment ref="C6" authorId="0" shapeId="0" xr:uid="{00000000-0006-0000-0400-000002000000}">
      <text>
        <r>
          <rPr>
            <sz val="10"/>
            <rFont val="Arial"/>
            <family val="2"/>
          </rPr>
          <t>Standard illustrative ERP assumption for Indian equities.</t>
        </r>
      </text>
    </comment>
    <comment ref="C11" authorId="0" shapeId="0" xr:uid="{00000000-0006-0000-0400-000003000000}">
      <text>
        <r>
          <rPr>
            <sz val="10"/>
            <rFont val="Arial"/>
            <family val="2"/>
          </rPr>
          <t>Illustrative TERMINAL growth assumption (long-run nominal GDP-linked fade rate) for private banks — deliberately set well below current-cycle ROE to avoid Gordon Growth Model instability, per standard equity-research practice.</t>
        </r>
      </text>
    </comment>
    <comment ref="C12" authorId="0" shapeId="0" xr:uid="{00000000-0006-0000-0400-000004000000}">
      <text>
        <r>
          <rPr>
            <sz val="10"/>
            <rFont val="Arial"/>
            <family val="2"/>
          </rPr>
          <t>Illustrative TERMINAL growth assumption for PSU banks, set below private-bank g to reflect a more mature, slower-growing balance sheet.</t>
        </r>
      </text>
    </comment>
  </commentList>
</comments>
</file>

<file path=xl/sharedStrings.xml><?xml version="1.0" encoding="utf-8"?>
<sst xmlns="http://schemas.openxmlformats.org/spreadsheetml/2006/main" count="343" uniqueCount="213">
  <si>
    <t>India Banking Sector — Deep-Dive Coverage &amp; Valuation</t>
  </si>
  <si>
    <t>15-bank universe, Q1 FY27 results season — explicit BUY/HOLD/SELL ratings via Gordon Growth Model</t>
  </si>
  <si>
    <t>Universe:</t>
  </si>
  <si>
    <t>7 private banks (HDFC, ICICI, Axis, Kotak, IndusInd, Federal, IDFC First) + 8 PSU banks (SBI, PNB, BoB, Canara, Union, Indian Bank, BoI, UCO)</t>
  </si>
  <si>
    <t>Data as of:</t>
  </si>
  <si>
    <t>Q1 FY27 results (Jul-Aug 2026 reporting); market data late Aug-early Sep 2026</t>
  </si>
  <si>
    <t>Contents</t>
  </si>
  <si>
    <t>Industry Overview</t>
  </si>
  <si>
    <t>Sector size, credit-deposit gap, and the AQR→IBC→PCA→recapitalization credit cycle</t>
  </si>
  <si>
    <t>Consolidation &amp; Regulatory</t>
  </si>
  <si>
    <t>27→12 PSU mergers, unsecured-lending crackdown, ECL transition, HDFC merger mechanics, UPI scale</t>
  </si>
  <si>
    <t>Bank Data</t>
  </si>
  <si>
    <t>Full Q1 FY27 comparable dataset across 15 banks: growth, margins, asset quality, capital, valuation</t>
  </si>
  <si>
    <t>Valuation Engine</t>
  </si>
  <si>
    <t>Gordon Growth fair-P/B model → explicit BUY/HOLD/SELL rating per bank</t>
  </si>
  <si>
    <t>SOTP</t>
  </si>
  <si>
    <t>Embedded listed-subsidiary value at HDFC Bank, ICICI Bank and SBI</t>
  </si>
  <si>
    <t>Analysis</t>
  </si>
  <si>
    <t>Private vs. PSU group averages and the valuation-convergence case</t>
  </si>
  <si>
    <t>The Debate</t>
  </si>
  <si>
    <t>Private banks trade at 1.74x average P/B against 0.94x for PSU banks — an 85% premium — even though, across our 15-bank universe, PSU banks post a HIGHER average ROE (16.0% vs 13.0%) and statistically comparable Net NPA. The Valuation Engine tab turns that observation into explicit calls: 3 BUYs (all PSU), 3 SELLs (all private), 1 HOLD, and 8 flagged for insufficient data rather than a forced rating.</t>
  </si>
  <si>
    <t>Ratings Scoreboard (from Valuation Engine)</t>
  </si>
  <si>
    <t>Bank</t>
  </si>
  <si>
    <t>Type</t>
  </si>
  <si>
    <t>Implied Upside</t>
  </si>
  <si>
    <t>Rating</t>
  </si>
  <si>
    <t>This is an independent, illustrative sector analysis built for portfolio/interview demonstration purposes using public results and market data. It is not investment advice. See the companion detailed sector report (Word doc) for the full write-up.</t>
  </si>
  <si>
    <t>Industry Overview — Size, Structure &amp; the Credit Cycle</t>
  </si>
  <si>
    <t>A. Sector Size (FY26)</t>
  </si>
  <si>
    <t>Scheduled Commercial Banks (SCBs)</t>
  </si>
  <si>
    <t>~90+ entities</t>
  </si>
  <si>
    <t>12 PSU banks, 21 private banks, ~44 foreign banks, small finance banks (SFBs) and regional rural banks (RRBs) make up the rest.</t>
  </si>
  <si>
    <t>System-wide credit growth, FY26</t>
  </si>
  <si>
    <t>~11-13% YoY</t>
  </si>
  <si>
    <t>Broadly tracking nominal GDP growth plus a modest multiplier; moderated from the mid-teens pace seen in FY23-24.</t>
  </si>
  <si>
    <t>System-wide deposit growth, FY26</t>
  </si>
  <si>
    <t>~9-10% YoY</t>
  </si>
  <si>
    <t>Persistently running below credit growth — the 'credit-deposit gap' that has forced banks to compete harder (and pay more) for deposits, pressuring NIMs system-wide.</t>
  </si>
  <si>
    <t>PSU share of system deposits</t>
  </si>
  <si>
    <t>~55-60%</t>
  </si>
  <si>
    <t>PSU banks retain majority share of the deposit franchise (legacy branch density, government business, pension accounts) even as private banks lead on incremental credit growth and profitability.</t>
  </si>
  <si>
    <t>B. The Credit Cycle: From Crisis to Record Profitability</t>
  </si>
  <si>
    <t>This is the single most important context for reading any current Indian bank's numbers: the entire sector spent roughly a decade digging out of a corporate-lending NPA crisis, and only fully emerged in the last 2-3 years. A GNPA print of ~1.5-2% today needs to be read against where the same banks stood in FY18.</t>
  </si>
  <si>
    <t>Year / Period</t>
  </si>
  <si>
    <t>Event</t>
  </si>
  <si>
    <t>Why it mattered</t>
  </si>
  <si>
    <t>2015-16</t>
  </si>
  <si>
    <t>RBI's Asset Quality Review (AQR)</t>
  </si>
  <si>
    <t>Forced banks to recognize NPAs they had been rolling over or restructuring — gross NPAs across the system roughly doubled on paper almost overnight.</t>
  </si>
  <si>
    <t>2016</t>
  </si>
  <si>
    <t>Insolvency and Bankruptcy Code (IBC) enacted</t>
  </si>
  <si>
    <t>Gave banks a real, time-bound legal mechanism to force resolution or liquidation of stressed corporate borrowers — previously recovery could drag on for a decade-plus.</t>
  </si>
  <si>
    <t>FY18</t>
  </si>
  <si>
    <t>System GNPA peaks (~11-12% system-wide; several PSU banks above 15-20%)</t>
  </si>
  <si>
    <t>The bottom of the cycle. Twin balance sheet problem (over-levered infrastructure/steel corporates + undercapitalized PSU banks) at its worst.</t>
  </si>
  <si>
    <t>2017-2021</t>
  </si>
  <si>
    <t>11 PSU banks placed under RBI's Prompt Corrective Action (PCA) framework</t>
  </si>
  <si>
    <t>Restricted lending, branch expansion and dividend payouts at the weakest PSU banks until capital and asset-quality metrics improved — effectively a supervised recovery program.</t>
  </si>
  <si>
    <t>2019-2020</t>
  </si>
  <si>
    <t>Government recapitalizes PSU banks (₹recapitalization bonds) + mega-mergers (see Consolidation tab)</t>
  </si>
  <si>
    <t>Rebuilt capital buffers and consolidated 27 PSU banks into 12, creating fewer, larger, better-capitalized entities.</t>
  </si>
  <si>
    <t>2020-2022</t>
  </si>
  <si>
    <t>Covid-19 forbearance + one-time restructuring windows</t>
  </si>
  <si>
    <t>Delayed recognition of some stress but ultimately proved less damaging than feared, given strong systemic liquidity support.</t>
  </si>
  <si>
    <t>FY23-26</t>
  </si>
  <si>
    <t>System GNPA falls to multi-year / multi-decade lows (SBI: 1.47%, a 20-year low)</t>
  </si>
  <si>
    <t>The cleanup is largely complete. Provision coverage ratios are high (70-75%+ at most large banks), capital ratios are comfortable, and profitability is at record levels across the sector.</t>
  </si>
  <si>
    <t>Implication for the Private vs. PSU debate (Analysis tab): the current-cycle asset-quality convergence isn't an accident or a one-off good quarter — it's the tail end of a decade-long, policy-driven cleanup (AQR → IBC → PCA → recapitalization → consolidation). That's a structural argument, not just a cyclical one, for why the valuation gap deserves fresh scrutiny — which the Valuation Engine tab then quantifies bank-by-bank.</t>
  </si>
  <si>
    <t>PSU Consolidation History &amp; Current Regulatory Watch</t>
  </si>
  <si>
    <t>A. PSU Bank Consolidation: 27 Banks → 12</t>
  </si>
  <si>
    <t>Date</t>
  </si>
  <si>
    <t>Transaction</t>
  </si>
  <si>
    <t>Apr 2017</t>
  </si>
  <si>
    <t>SBI absorbs 5 associate banks (State Bank of Bikaner &amp; Jaipur, Mysore, Travancore, Hyderabad, Patiala) + Bharatiya Mahila Bank</t>
  </si>
  <si>
    <t>Apr 2019</t>
  </si>
  <si>
    <t>Bank of Baroda absorbs Vijaya Bank and Dena Bank</t>
  </si>
  <si>
    <t>Apr 2020</t>
  </si>
  <si>
    <t>Punjab National Bank absorbs Oriental Bank of Commerce + United Bank of India</t>
  </si>
  <si>
    <t>Canara Bank absorbs Syndicate Bank</t>
  </si>
  <si>
    <t>Union Bank of India absorbs Andhra Bank + Corporation Bank</t>
  </si>
  <si>
    <t>Indian Bank absorbs Allahabad Bank</t>
  </si>
  <si>
    <t>Result: PSU bank count fell from 27 (pre-2017) to 12 today. Market chatter in 2026 (e.g. PL Capital) suggests the government may eventually target a further consolidation toward 6-7 PSU banks, with smaller names (IOB, UCO Bank, Bank of India, Central Bank of India, Bank of Maharashtra, Punjab &amp; Sind Bank) most often cited as candidates — unconfirmed, but worth watching. Note that 3 of this report's 8 PSU names (UCO Bank, Bank of India, and to a lesser extent Indian Bank) sit in exactly this speculative-consolidation-target zone — a real, if hard-to-time, catalyst not captured in the Valuation Engine's Gordon Growth framework. IDBI Bank's privatization (part-owned by LIC and the Government) has also been an active, if slow-moving, process.</t>
  </si>
  <si>
    <t>B. Regulatory Watch — What's Actually Moving the Sector Right Now</t>
  </si>
  <si>
    <t>Theme</t>
  </si>
  <si>
    <t>Detail</t>
  </si>
  <si>
    <t>Nov 2023: RBI risk-weight action on unsecured credit</t>
  </si>
  <si>
    <t>RBI raised risk weights by 25 percentage points on consumer unsecured loans, credit cards, and bank lending to NBFCs, deliberately making unsecured retail growth more capital-intensive. Directly contributed to a subsequent slowdown in unsecured retail and microfinance lending through 2024-2025, and real stress at names most exposed to that book — a cautionary tale for how fast a 'clean' retail growth story can turn. IndusInd Bank's elevated 3.25% GNPA in this dataset is a partial echo of this same period's asset-quality issues.</t>
  </si>
  <si>
    <t>Expected Credit Loss (ECL) provisioning transition</t>
  </si>
  <si>
    <t>RBI has been moving Indian banks from the current 'incurred loss' provisioning approach (IRAC norms) toward an Ind AS 109 / IFRS 9-style forward-looking Expected Credit Loss framework, in phases. This will likely require higher day-one provisioning at some banks when fully implemented — a capital and earnings consideration still working through the system, not yet fully priced by the market, and most relevant to the thinner-capitalized PSU names in this dataset (UCO Bank, Bank of India).</t>
  </si>
  <si>
    <t>Basel III capital framework</t>
  </si>
  <si>
    <t>Indian banks now run comfortably above minimum CET1/capital adequacy requirements post the FY19-21 recapitalization cycle. Within this report's dataset, PNB (CRAR 18.13%), Union Bank (18.46%) and UCO Bank (19.03%) all carry comfortable buffers — a structural change from a decade ago, when several PSU banks were capital-constrained and unable to grow.</t>
  </si>
  <si>
    <t>HDFC Bank – HDFC Ltd merger (completed Jul 2023) still working through the system</t>
  </si>
  <si>
    <t>The reverse merger of India's largest mortgage lender into HDFC Bank added a large low-yielding mortgage book funded without a matching deposit franchise, pushing HDFC Bank's loan-to-deposit ratio well above 100% at merger and diluting its best-in-class CASA ratio. HDFC Bank has spent FY24-26 deliberately growing deposits faster than loans to bring this back into balance — a multi-year normalization, and part of why the Valuation Engine flags HDFC Bank as a SELL on current ROE despite its franchise quality: the merger is still diluting return ratios.</t>
  </si>
  <si>
    <t>C. Digital Disruption — UPI's Scale</t>
  </si>
  <si>
    <t>FY2025-26 UPI transaction volume</t>
  </si>
  <si>
    <t>24,162 crore (~241.6 billion) transactions, up from just 2 crore in FY2016-17</t>
  </si>
  <si>
    <t>FY2025-26 UPI transaction value</t>
  </si>
  <si>
    <t>~₹314 lakh crore (~$3.7 trillion)</t>
  </si>
  <si>
    <t>Banks live on UPI</t>
  </si>
  <si>
    <t>703, up from 44 at launch (FY2016-17)</t>
  </si>
  <si>
    <t>Top-3 app concentration (PhonePe, Google Pay, Paytm)</t>
  </si>
  <si>
    <t>~88-93% of UPI volume — banks are largely distribution partners/back-end rails for non-bank apps, not the customer-facing layer</t>
  </si>
  <si>
    <t>Why this matters for bank economics: UPI is free (zero MDR on P2P and most P2M volume), which means it has driven massive financial inclusion and transaction banking scale without a matching fee-income stream for banks — the commercial value banks capture is mostly in float, deposit stickiness, and cross-sell data, not direct payments revenue. This is a key reason Indian banks have leaned so heavily on credit cards and personal loans (which do carry fee/interest economics) for retail profitability — the same segment the Nov 2023 RBI risk-weight action targeted.</t>
  </si>
  <si>
    <t>India Banking Sector — 15-Bank Comparable Universe (Q1 FY27, quarter ended June 30, 2026)</t>
  </si>
  <si>
    <t>NII
(₹cr)</t>
  </si>
  <si>
    <t>NII
Gr.%</t>
  </si>
  <si>
    <t>PAT
(₹cr)</t>
  </si>
  <si>
    <t>PAT
Gr.%</t>
  </si>
  <si>
    <t>NIM
%</t>
  </si>
  <si>
    <t>GNPA
%</t>
  </si>
  <si>
    <t>NNPA
%</t>
  </si>
  <si>
    <t>ROA
%</t>
  </si>
  <si>
    <t>ROE
%
(disc.)</t>
  </si>
  <si>
    <t>CRAR
%</t>
  </si>
  <si>
    <t>CET1
%</t>
  </si>
  <si>
    <t>Mkt Cap
(₹cr)</t>
  </si>
  <si>
    <t>P/E
(x)</t>
  </si>
  <si>
    <t>P/B
(x)</t>
  </si>
  <si>
    <t>Implied
ROE
(P/B÷P/E)</t>
  </si>
  <si>
    <t>Primary
ROE (val.)</t>
  </si>
  <si>
    <t>HDFC Bank</t>
  </si>
  <si>
    <t>Private</t>
  </si>
  <si>
    <t>N/A</t>
  </si>
  <si>
    <t>ICICI Bank</t>
  </si>
  <si>
    <t>Axis Bank</t>
  </si>
  <si>
    <t>Kotak Mahindra Bank</t>
  </si>
  <si>
    <t>IndusInd Bank</t>
  </si>
  <si>
    <t>N/M</t>
  </si>
  <si>
    <t>Federal Bank</t>
  </si>
  <si>
    <t>IDFC First Bank</t>
  </si>
  <si>
    <t>SBI</t>
  </si>
  <si>
    <t>PSU</t>
  </si>
  <si>
    <t>PNB</t>
  </si>
  <si>
    <t>Bank of Baroda</t>
  </si>
  <si>
    <t>Canara Bank</t>
  </si>
  <si>
    <t>Union Bank of India</t>
  </si>
  <si>
    <t>Indian Bank</t>
  </si>
  <si>
    <t>Bank of India</t>
  </si>
  <si>
    <t>UCO Bank</t>
  </si>
  <si>
    <t>Column R (Implied ROE) uses the identity ROE = EPS/BVPS = (Price÷BVPS)/(Price÷EPS) = P/B ÷ P/E — a standard cross-check wherever a bank doesn't separately disclose ROE. Column S prefers the company-disclosed ROE where available (PNB, Bank of Baroda) since one-off items can distort the P/E-derived figure (see Bank of Baroda comment); it falls back to the implied ROE otherwise. This Primary ROE feeds the Valuation Engine tab.</t>
  </si>
  <si>
    <t>Cells marked N/A were not independently verified within this research pass. All figures sourced from company results releases, exchange filings, and named market-data providers as of the dates in each cell's comment.</t>
  </si>
  <si>
    <t>Gordon Growth Valuation Engine — Fair P/B, Implied Upside &amp; Rating</t>
  </si>
  <si>
    <t>A. Model Assumptions</t>
  </si>
  <si>
    <t>Risk-free rate (India 10Y G-Sec)</t>
  </si>
  <si>
    <t>Equity risk premium (India, assumed)</t>
  </si>
  <si>
    <t>Beta — private banks (assumed)</t>
  </si>
  <si>
    <t>Beta — PSU banks (assumed, higher risk)</t>
  </si>
  <si>
    <t>Cost of equity — private banks (Rf + β×ERP)</t>
  </si>
  <si>
    <t>Cost of equity — PSU banks (Rf + β×ERP)</t>
  </si>
  <si>
    <t>Sustainable growth (g) — private banks (assumed)</t>
  </si>
  <si>
    <t>Sustainable growth (g) — PSU banks (assumed)</t>
  </si>
  <si>
    <t>Gordon Growth (Fair P/B) model: Fair P/B = (ROE − g) / (Ke − g). This is the standard bank-sector valuation framework (used in place of DCF/EV-EBITDA, which don't fit deposit-taking institutions) — it directly links a bank's sustainable ROE to the book multiple it deserves. All Rf/ERP/Beta/g inputs above are editable assumptions (yellow cells); ratings will re-flex automatically.</t>
  </si>
  <si>
    <t>B. Per-Bank Valuation</t>
  </si>
  <si>
    <t>Primary
ROE</t>
  </si>
  <si>
    <t>Ke</t>
  </si>
  <si>
    <t>g</t>
  </si>
  <si>
    <t>Fair
P/B</t>
  </si>
  <si>
    <t>Current
P/B</t>
  </si>
  <si>
    <t>Implied
Upside/(Downside)</t>
  </si>
  <si>
    <t>Rating bands: BUY if Fair P/B implies ≥15% upside to current P/B; SELL if ≤10% downside; HOLD in between. 'Insufficient data' applies where P/B or a usable ROE basis wasn't independently confirmed (see Bank Data tab) — treat these as 'needs primary diligence,' not as a neutral call. This is a book-value re-rating framework, not a price target on its own — pair it with the qualitative read in the companion report before acting on any single rating.</t>
  </si>
  <si>
    <t>Sum-of-the-Parts — Embedded Subsidiary Value at the 3 Banks With Listed Arms</t>
  </si>
  <si>
    <t>HDFC Bank, ICICI Bank and SBI all own meaningful stakes in separately listed insurance, asset-management, broking and cards subsidiaries. A pure standalone-bank P/B or P/E multiple misses this embedded value. Subsidiary market caps below are approximate (derived from share price × an estimated/recalled share count where an exact figure wasn't independently confirmed this pass) — treat the attributable-value column as directionally right, not audit-grade precise.</t>
  </si>
  <si>
    <t>Subsidiary</t>
  </si>
  <si>
    <t>Sub. Mkt Cap (₹cr)</t>
  </si>
  <si>
    <t>Parent Stake %</t>
  </si>
  <si>
    <t>Attributable Value (₹cr)</t>
  </si>
  <si>
    <t>Note</t>
  </si>
  <si>
    <t>HDFC Life Insurance</t>
  </si>
  <si>
    <t>Life insurer; HDFC Bank's stake ~50% post multiple secondary stake sales over 2022-24.</t>
  </si>
  <si>
    <t>HDFC Asset Management Co.</t>
  </si>
  <si>
    <t>Listed AMC; standalone market cap not independently confirmed this pass — excluded from the total below rather than estimated.</t>
  </si>
  <si>
    <t>Total attributable subsidiary value</t>
  </si>
  <si>
    <t>HDFC Bank standalone market cap (₹cr)</t>
  </si>
  <si>
    <t>Subsidiary value as % of parent's own market cap</t>
  </si>
  <si>
    <t>ICICI Prudential Life Insurance</t>
  </si>
  <si>
    <t>Life insurer; ICICI Bank's stake ~51.4%. Subsidiary market cap approximated from recent share price × est. share count — flagged as directional.</t>
  </si>
  <si>
    <t>ICICI Lombard General Insurance</t>
  </si>
  <si>
    <t>General insurer; ICICI Bank's stake ~48.1%. Subsidiary market cap approximated — flagged as directional.</t>
  </si>
  <si>
    <t>ICICI Bank standalone market cap (₹cr)</t>
  </si>
  <si>
    <t>SBI Life Insurance</t>
  </si>
  <si>
    <t>Life insurer; SBI's stake ~55.4%. Subsidiary market cap approximated from recent share price × est. share count — flagged as directional.</t>
  </si>
  <si>
    <t>SBI Cards &amp; Payment Services</t>
  </si>
  <si>
    <t>Credit card issuer; SBI's stake ~68.6%. Subsidiary market cap approximated — flagged as directional.</t>
  </si>
  <si>
    <t>SBI Mutual Fund</t>
  </si>
  <si>
    <t>India's largest AMC by AUM; unlisted — not independently valued this pass, but is a further source of unrecognized value beyond the two lines above.</t>
  </si>
  <si>
    <t>SBI standalone market cap (₹cr)</t>
  </si>
  <si>
    <t>Read-through: even on approximate figures, HDFC Bank's and SBI's listed-subsidiary stakes each represent a meaningful slice of the parent's own market cap — a reminder that a standalone P/B or P/E comparison (as used in the Valuation Engine tab) is necessarily incomplete for these three names. A rigorous SOTP would net this out before comparing 'core bank' multiples across the peer set; this tab is a directional flag for that adjustment, not a substitute for it.</t>
  </si>
  <si>
    <t>Private vs. PSU Banks — The Convergence Trade (15-Bank Universe)</t>
  </si>
  <si>
    <t>A. Group Averages: 7 Private vs. 8 PSU Banks</t>
  </si>
  <si>
    <t>Metric</t>
  </si>
  <si>
    <t>Private Avg</t>
  </si>
  <si>
    <t>PSU Avg</t>
  </si>
  <si>
    <t>PAT growth, % YoY (reported)</t>
  </si>
  <si>
    <t xml:space="preserve">  ⚠ skewed by one-offs — see note</t>
  </si>
  <si>
    <t>Net Interest Margin, %</t>
  </si>
  <si>
    <t>Gross NPA, %</t>
  </si>
  <si>
    <t>Net NPA, %</t>
  </si>
  <si>
    <t>P/E (TTM)</t>
  </si>
  <si>
    <t>P/B</t>
  </si>
  <si>
    <t>Primary ROE (disclosed or implied)</t>
  </si>
  <si>
    <t>P/B premium: Private vs. PSU</t>
  </si>
  <si>
    <t>Averages use AVERAGEIF, which automatically skips 'N/A' text cells — group averages reflect only the banks with confirmed data for that metric (see Bank Data tab for exact coverage per row). The PSU PAT-growth average is heavily distorted by two one-off items this quarter — PNB's +213.6% reflects a low prior-year provisioning base, and Bank of Baroda's reported -72% reflects a one-time ₹5,680cr litigation settlement (normalized BoB PAT was actually +22%) — read individual bank figures on the Bank Data tab, not this average, for growth comparisons.</t>
  </si>
  <si>
    <t>B. Is the Premium Justified? (Quality-Adjusted View)</t>
  </si>
  <si>
    <t>GNPA gap (PSU minus Private, pp)</t>
  </si>
  <si>
    <t>NNPA gap (PSU minus Private, pp)</t>
  </si>
  <si>
    <t>ROE gap (Private minus PSU, pp)</t>
  </si>
  <si>
    <t>P/B gap (Private minus PSU, x)</t>
  </si>
  <si>
    <t>C. Ratings Scoreboard (from Valuation Engine tab)</t>
  </si>
  <si>
    <t>BUY count</t>
  </si>
  <si>
    <t>HOLD count</t>
  </si>
  <si>
    <t>SELL count</t>
  </si>
  <si>
    <t>Insufficient data count</t>
  </si>
  <si>
    <t>Read together with the GNPA/NNPA gaps above: the asset-quality convergence between the two groups is real and, on Net NPA, essentially complete. The ratings scoreboard shows this isn't a call to buy every PSU bank or sell every private bank — it's concentrated in specific names (see Valuation Engine tab) where current ROE genuinely doesn't support the multiple, in either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</si>
</sst>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;\(#,##0\);\-"/>
    <numFmt numFmtId="166" formatCode="0.00\x"/>
    <numFmt numFmtId="167" formatCode="0.00&quot;pp&quot;"/>
  </numFmts>
  <fonts count="16" x14ac:knownFonts="1">
    <font>
      <sz val="11"/>
      <color theme="1"/>
      <name val="Calibri"/>
      <family val="2"/>
      <charset val="1"/>
    </font>
    <font>
      <b/>
      <sz val="17"/>
      <color rgb="FF0B2545"/>
      <name val="Arial"/>
      <charset val="1"/>
    </font>
    <font>
      <i/>
      <sz val="11"/>
      <color rgb="FF4B5563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sz val="10"/>
      <color rgb="FF008000"/>
      <name val="Arial"/>
      <charset val="1"/>
    </font>
    <font>
      <i/>
      <sz val="8.5"/>
      <color rgb="FF6B7280"/>
      <name val="Arial"/>
      <charset val="1"/>
    </font>
    <font>
      <b/>
      <sz val="14"/>
      <name val="Arial"/>
      <charset val="1"/>
    </font>
    <font>
      <b/>
      <sz val="13"/>
      <name val="Arial"/>
      <charset val="1"/>
    </font>
    <font>
      <i/>
      <sz val="10"/>
      <color rgb="FF9CA3AF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i/>
      <sz val="8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B2545"/>
        <bgColor rgb="FF374151"/>
      </patternFill>
    </fill>
    <fill>
      <patternFill patternType="solid">
        <fgColor rgb="FF374151"/>
        <bgColor rgb="FF4B5563"/>
      </patternFill>
    </fill>
    <fill>
      <patternFill patternType="solid">
        <fgColor rgb="FFDCEAFB"/>
        <bgColor rgb="FFE5E7EB"/>
      </patternFill>
    </fill>
    <fill>
      <patternFill patternType="solid">
        <fgColor rgb="FFFBEBDC"/>
        <bgColor rgb="FFE5E7EB"/>
      </patternFill>
    </fill>
    <fill>
      <patternFill patternType="solid">
        <fgColor rgb="FF4C1D95"/>
        <bgColor rgb="FF6600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CEAFB"/>
      </patternFill>
    </fill>
    <fill>
      <patternFill patternType="solid">
        <fgColor rgb="FFFFEB9C"/>
        <bgColor rgb="FFFBEBDC"/>
      </patternFill>
    </fill>
    <fill>
      <patternFill patternType="solid">
        <fgColor rgb="FFFFC7CE"/>
        <bgColor rgb="FFFBEB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166" fontId="3" fillId="0" borderId="0" xfId="0" applyNumberFormat="1" applyFont="1"/>
    <xf numFmtId="167" fontId="3" fillId="0" borderId="0" xfId="0" applyNumberFormat="1" applyFont="1"/>
    <xf numFmtId="164" fontId="3" fillId="0" borderId="0" xfId="0" applyNumberFormat="1" applyFont="1"/>
    <xf numFmtId="0" fontId="11" fillId="0" borderId="0" xfId="0" applyFont="1"/>
    <xf numFmtId="0" fontId="10" fillId="0" borderId="0" xfId="0" applyFont="1"/>
    <xf numFmtId="0" fontId="9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indent="1"/>
    </xf>
    <xf numFmtId="0" fontId="0" fillId="2" borderId="0" xfId="0" applyFill="1"/>
    <xf numFmtId="0" fontId="6" fillId="0" borderId="0" xfId="0" applyFont="1" applyAlignment="1">
      <alignment wrapText="1"/>
    </xf>
    <xf numFmtId="0" fontId="7" fillId="3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/>
    <xf numFmtId="0" fontId="6" fillId="0" borderId="0" xfId="0" applyFont="1"/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/>
    </xf>
    <xf numFmtId="165" fontId="4" fillId="0" borderId="0" xfId="0" applyNumberFormat="1" applyFont="1"/>
    <xf numFmtId="164" fontId="4" fillId="0" borderId="0" xfId="0" applyNumberFormat="1" applyFont="1"/>
    <xf numFmtId="10" fontId="4" fillId="0" borderId="0" xfId="0" applyNumberFormat="1" applyFont="1"/>
    <xf numFmtId="0" fontId="12" fillId="0" borderId="0" xfId="0" applyFont="1" applyAlignment="1">
      <alignment horizontal="center"/>
    </xf>
    <xf numFmtId="166" fontId="4" fillId="0" borderId="0" xfId="0" applyNumberFormat="1" applyFont="1"/>
    <xf numFmtId="164" fontId="13" fillId="0" borderId="0" xfId="0" applyNumberFormat="1" applyFont="1"/>
    <xf numFmtId="164" fontId="3" fillId="0" borderId="0" xfId="0" applyNumberFormat="1" applyFont="1"/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5" fillId="6" borderId="0" xfId="0" applyFont="1" applyFill="1" applyAlignment="1">
      <alignment vertical="center" indent="1"/>
    </xf>
    <xf numFmtId="0" fontId="0" fillId="6" borderId="0" xfId="0" applyFill="1"/>
    <xf numFmtId="10" fontId="4" fillId="7" borderId="0" xfId="0" applyNumberFormat="1" applyFont="1" applyFill="1"/>
    <xf numFmtId="164" fontId="4" fillId="7" borderId="0" xfId="0" applyNumberFormat="1" applyFont="1" applyFill="1"/>
    <xf numFmtId="2" fontId="4" fillId="7" borderId="0" xfId="0" applyNumberFormat="1" applyFont="1" applyFill="1"/>
    <xf numFmtId="10" fontId="3" fillId="0" borderId="0" xfId="0" applyNumberFormat="1" applyFont="1"/>
    <xf numFmtId="10" fontId="13" fillId="0" borderId="0" xfId="0" applyNumberFormat="1" applyFont="1"/>
    <xf numFmtId="166" fontId="3" fillId="0" borderId="0" xfId="0" applyNumberFormat="1" applyFont="1"/>
    <xf numFmtId="166" fontId="8" fillId="0" borderId="0" xfId="0" applyNumberFormat="1" applyFont="1"/>
    <xf numFmtId="165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3" fillId="0" borderId="0" xfId="0" applyNumberFormat="1" applyFont="1"/>
    <xf numFmtId="165" fontId="8" fillId="0" borderId="0" xfId="0" applyNumberFormat="1" applyFont="1"/>
    <xf numFmtId="0" fontId="15" fillId="0" borderId="0" xfId="0" applyFont="1"/>
    <xf numFmtId="10" fontId="8" fillId="0" borderId="0" xfId="0" applyNumberFormat="1" applyFont="1"/>
    <xf numFmtId="1" fontId="13" fillId="8" borderId="0" xfId="0" applyNumberFormat="1" applyFont="1" applyFill="1"/>
    <xf numFmtId="1" fontId="13" fillId="9" borderId="0" xfId="0" applyNumberFormat="1" applyFont="1" applyFill="1"/>
    <xf numFmtId="1" fontId="13" fillId="10" borderId="0" xfId="0" applyNumberFormat="1" applyFont="1" applyFill="1"/>
    <xf numFmtId="1" fontId="13" fillId="0" borderId="0" xfId="0" applyNumberFormat="1" applyFont="1"/>
  </cellXfs>
  <cellStyles count="1">
    <cellStyle name="Normal" xfId="0" builtinId="0"/>
  </cellStyles>
  <dxfs count="8">
    <dxf>
      <fill>
        <patternFill>
          <bgColor rgb="FFE5E7EB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E5E7EB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F"/>
      <rgbColor rgb="FF800080"/>
      <rgbColor rgb="FF008080"/>
      <rgbColor rgb="FFC0C0C0"/>
      <rgbColor rgb="FF808080"/>
      <rgbColor rgb="FF9999FF"/>
      <rgbColor rgb="FF9D174D"/>
      <rgbColor rgb="FFFBEBDC"/>
      <rgbColor rgb="FFDCEAFB"/>
      <rgbColor rgb="FF660066"/>
      <rgbColor rgb="FFFF8080"/>
      <rgbColor rgb="FF1E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B2545"/>
      <rgbColor rgb="FF339966"/>
      <rgbColor rgb="FF14532D"/>
      <rgbColor rgb="FF4B5563"/>
      <rgbColor rgb="FF713F12"/>
      <rgbColor rgb="FF993366"/>
      <rgbColor rgb="FF4C1D9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545"/>
    <pageSetUpPr fitToPage="1"/>
  </sheetPr>
  <dimension ref="B2:F37"/>
  <sheetViews>
    <sheetView showGridLines="0" zoomScaleNormal="100" workbookViewId="0">
      <pane xSplit="2" ySplit="4" topLeftCell="C16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2" customWidth="1"/>
    <col min="3" max="6" width="16" customWidth="1"/>
    <col min="7" max="7" width="3" customWidth="1"/>
  </cols>
  <sheetData>
    <row r="2" spans="2:6" ht="21.6" x14ac:dyDescent="0.4">
      <c r="B2" s="10" t="s">
        <v>0</v>
      </c>
      <c r="C2" s="10"/>
      <c r="D2" s="10"/>
      <c r="E2" s="10"/>
      <c r="F2" s="10"/>
    </row>
    <row r="3" spans="2:6" x14ac:dyDescent="0.3">
      <c r="B3" s="9" t="s">
        <v>1</v>
      </c>
      <c r="C3" s="9"/>
      <c r="D3" s="9"/>
      <c r="E3" s="9"/>
      <c r="F3" s="9"/>
    </row>
    <row r="5" spans="2:6" ht="27.75" customHeight="1" x14ac:dyDescent="0.3">
      <c r="B5" s="11" t="s">
        <v>2</v>
      </c>
      <c r="C5" s="8" t="s">
        <v>3</v>
      </c>
      <c r="D5" s="8"/>
      <c r="E5" s="8"/>
      <c r="F5" s="8"/>
    </row>
    <row r="6" spans="2:6" x14ac:dyDescent="0.3">
      <c r="B6" s="11" t="s">
        <v>4</v>
      </c>
      <c r="C6" s="12" t="s">
        <v>5</v>
      </c>
    </row>
    <row r="8" spans="2:6" ht="19.5" customHeight="1" x14ac:dyDescent="0.3">
      <c r="B8" s="13" t="s">
        <v>6</v>
      </c>
      <c r="C8" s="14"/>
      <c r="D8" s="14"/>
      <c r="E8" s="14"/>
      <c r="F8" s="14"/>
    </row>
    <row r="9" spans="2:6" ht="27.75" customHeight="1" x14ac:dyDescent="0.3">
      <c r="B9" s="11" t="s">
        <v>7</v>
      </c>
      <c r="C9" s="7" t="s">
        <v>8</v>
      </c>
      <c r="D9" s="7"/>
      <c r="E9" s="7"/>
      <c r="F9" s="7"/>
    </row>
    <row r="10" spans="2:6" ht="27.75" customHeight="1" x14ac:dyDescent="0.3">
      <c r="B10" s="11" t="s">
        <v>9</v>
      </c>
      <c r="C10" s="7" t="s">
        <v>10</v>
      </c>
      <c r="D10" s="7"/>
      <c r="E10" s="7"/>
      <c r="F10" s="7"/>
    </row>
    <row r="11" spans="2:6" ht="27.75" customHeight="1" x14ac:dyDescent="0.3">
      <c r="B11" s="11" t="s">
        <v>11</v>
      </c>
      <c r="C11" s="7" t="s">
        <v>12</v>
      </c>
      <c r="D11" s="7"/>
      <c r="E11" s="7"/>
      <c r="F11" s="7"/>
    </row>
    <row r="12" spans="2:6" ht="27.75" customHeight="1" x14ac:dyDescent="0.3">
      <c r="B12" s="11" t="s">
        <v>13</v>
      </c>
      <c r="C12" s="7" t="s">
        <v>14</v>
      </c>
      <c r="D12" s="7"/>
      <c r="E12" s="7"/>
      <c r="F12" s="7"/>
    </row>
    <row r="13" spans="2:6" ht="27.75" customHeight="1" x14ac:dyDescent="0.3">
      <c r="B13" s="11" t="s">
        <v>15</v>
      </c>
      <c r="C13" s="7" t="s">
        <v>16</v>
      </c>
      <c r="D13" s="7"/>
      <c r="E13" s="7"/>
      <c r="F13" s="7"/>
    </row>
    <row r="14" spans="2:6" ht="27.75" customHeight="1" x14ac:dyDescent="0.3">
      <c r="B14" s="11" t="s">
        <v>17</v>
      </c>
      <c r="C14" s="7" t="s">
        <v>18</v>
      </c>
      <c r="D14" s="7"/>
      <c r="E14" s="7"/>
      <c r="F14" s="7"/>
    </row>
    <row r="16" spans="2:6" ht="19.5" customHeight="1" x14ac:dyDescent="0.3">
      <c r="B16" s="13" t="s">
        <v>19</v>
      </c>
      <c r="C16" s="14"/>
      <c r="D16" s="14"/>
      <c r="E16" s="14"/>
      <c r="F16" s="14"/>
    </row>
    <row r="17" spans="2:6" ht="55.5" customHeight="1" x14ac:dyDescent="0.3">
      <c r="B17" s="7" t="s">
        <v>20</v>
      </c>
      <c r="C17" s="7"/>
      <c r="D17" s="7"/>
      <c r="E17" s="7"/>
      <c r="F17" s="7"/>
    </row>
    <row r="19" spans="2:6" ht="19.5" customHeight="1" x14ac:dyDescent="0.3">
      <c r="B19" s="13" t="s">
        <v>21</v>
      </c>
      <c r="C19" s="14"/>
      <c r="D19" s="14"/>
      <c r="E19" s="14"/>
      <c r="F19" s="14"/>
    </row>
    <row r="20" spans="2:6" x14ac:dyDescent="0.3">
      <c r="B20" s="16" t="s">
        <v>22</v>
      </c>
      <c r="C20" s="16" t="s">
        <v>23</v>
      </c>
      <c r="D20" s="16" t="s">
        <v>24</v>
      </c>
      <c r="E20" s="16" t="s">
        <v>25</v>
      </c>
    </row>
    <row r="21" spans="2:6" x14ac:dyDescent="0.3">
      <c r="B21" s="17" t="str">
        <f>'Valuation Engine'!B18</f>
        <v>HDFC Bank</v>
      </c>
      <c r="C21" s="18" t="str">
        <f>'Valuation Engine'!C18</f>
        <v>Private</v>
      </c>
      <c r="D21" s="19">
        <f>'Valuation Engine'!I18</f>
        <v>-0.42719257234579033</v>
      </c>
      <c r="E21" s="11" t="str">
        <f>'Valuation Engine'!J18</f>
        <v>SELL</v>
      </c>
    </row>
    <row r="22" spans="2:6" x14ac:dyDescent="0.3">
      <c r="B22" s="17" t="str">
        <f>'Valuation Engine'!B19</f>
        <v>ICICI Bank</v>
      </c>
      <c r="C22" s="18" t="str">
        <f>'Valuation Engine'!C19</f>
        <v>Private</v>
      </c>
      <c r="D22" s="19" t="str">
        <f>'Valuation Engine'!I19</f>
        <v>n.a.</v>
      </c>
      <c r="E22" s="11" t="str">
        <f>'Valuation Engine'!J19</f>
        <v>Insufficient data</v>
      </c>
    </row>
    <row r="23" spans="2:6" x14ac:dyDescent="0.3">
      <c r="B23" s="17" t="str">
        <f>'Valuation Engine'!B20</f>
        <v>Axis Bank</v>
      </c>
      <c r="C23" s="18" t="str">
        <f>'Valuation Engine'!C20</f>
        <v>Private</v>
      </c>
      <c r="D23" s="19">
        <f>'Valuation Engine'!I20</f>
        <v>-0.47966818766139385</v>
      </c>
      <c r="E23" s="11" t="str">
        <f>'Valuation Engine'!J20</f>
        <v>SELL</v>
      </c>
    </row>
    <row r="24" spans="2:6" x14ac:dyDescent="0.3">
      <c r="B24" s="17" t="str">
        <f>'Valuation Engine'!B21</f>
        <v>Kotak Mahindra Bank</v>
      </c>
      <c r="C24" s="18" t="str">
        <f>'Valuation Engine'!C21</f>
        <v>Private</v>
      </c>
      <c r="D24" s="19">
        <f>'Valuation Engine'!I21</f>
        <v>-0.67402563675624882</v>
      </c>
      <c r="E24" s="11" t="str">
        <f>'Valuation Engine'!J21</f>
        <v>SELL</v>
      </c>
    </row>
    <row r="25" spans="2:6" x14ac:dyDescent="0.3">
      <c r="B25" s="17" t="str">
        <f>'Valuation Engine'!B22</f>
        <v>IndusInd Bank</v>
      </c>
      <c r="C25" s="18" t="str">
        <f>'Valuation Engine'!C22</f>
        <v>Private</v>
      </c>
      <c r="D25" s="19" t="str">
        <f>'Valuation Engine'!I22</f>
        <v>n.a.</v>
      </c>
      <c r="E25" s="11" t="str">
        <f>'Valuation Engine'!J22</f>
        <v>Insufficient data</v>
      </c>
    </row>
    <row r="26" spans="2:6" x14ac:dyDescent="0.3">
      <c r="B26" s="17" t="str">
        <f>'Valuation Engine'!B23</f>
        <v>Federal Bank</v>
      </c>
      <c r="C26" s="18" t="str">
        <f>'Valuation Engine'!C23</f>
        <v>Private</v>
      </c>
      <c r="D26" s="19" t="str">
        <f>'Valuation Engine'!I23</f>
        <v>n.a.</v>
      </c>
      <c r="E26" s="11" t="str">
        <f>'Valuation Engine'!J23</f>
        <v>Insufficient data</v>
      </c>
    </row>
    <row r="27" spans="2:6" x14ac:dyDescent="0.3">
      <c r="B27" s="17" t="str">
        <f>'Valuation Engine'!B24</f>
        <v>IDFC First Bank</v>
      </c>
      <c r="C27" s="18" t="str">
        <f>'Valuation Engine'!C24</f>
        <v>Private</v>
      </c>
      <c r="D27" s="19" t="str">
        <f>'Valuation Engine'!I24</f>
        <v>n.a.</v>
      </c>
      <c r="E27" s="11" t="str">
        <f>'Valuation Engine'!J24</f>
        <v>Insufficient data</v>
      </c>
    </row>
    <row r="28" spans="2:6" x14ac:dyDescent="0.3">
      <c r="B28" s="17" t="str">
        <f>'Valuation Engine'!B25</f>
        <v>SBI</v>
      </c>
      <c r="C28" s="18" t="str">
        <f>'Valuation Engine'!C25</f>
        <v>PSU</v>
      </c>
      <c r="D28" s="19" t="str">
        <f>'Valuation Engine'!I25</f>
        <v>n.a.</v>
      </c>
      <c r="E28" s="11" t="str">
        <f>'Valuation Engine'!J25</f>
        <v>Insufficient data</v>
      </c>
    </row>
    <row r="29" spans="2:6" x14ac:dyDescent="0.3">
      <c r="B29" s="17" t="str">
        <f>'Valuation Engine'!B26</f>
        <v>PNB</v>
      </c>
      <c r="C29" s="18" t="str">
        <f>'Valuation Engine'!C26</f>
        <v>PSU</v>
      </c>
      <c r="D29" s="19">
        <f>'Valuation Engine'!I26</f>
        <v>0.30822281167108789</v>
      </c>
      <c r="E29" s="11" t="str">
        <f>'Valuation Engine'!J26</f>
        <v>BUY</v>
      </c>
    </row>
    <row r="30" spans="2:6" x14ac:dyDescent="0.3">
      <c r="B30" s="17" t="str">
        <f>'Valuation Engine'!B27</f>
        <v>Bank of Baroda</v>
      </c>
      <c r="C30" s="18" t="str">
        <f>'Valuation Engine'!C27</f>
        <v>PSU</v>
      </c>
      <c r="D30" s="19">
        <f>'Valuation Engine'!I27</f>
        <v>0.44911349993019667</v>
      </c>
      <c r="E30" s="11" t="str">
        <f>'Valuation Engine'!J27</f>
        <v>BUY</v>
      </c>
    </row>
    <row r="31" spans="2:6" x14ac:dyDescent="0.3">
      <c r="B31" s="17" t="str">
        <f>'Valuation Engine'!B28</f>
        <v>Canara Bank</v>
      </c>
      <c r="C31" s="18" t="str">
        <f>'Valuation Engine'!C28</f>
        <v>PSU</v>
      </c>
      <c r="D31" s="19">
        <f>'Valuation Engine'!I28</f>
        <v>0.26173919277367563</v>
      </c>
      <c r="E31" s="11" t="str">
        <f>'Valuation Engine'!J28</f>
        <v>BUY</v>
      </c>
    </row>
    <row r="32" spans="2:6" x14ac:dyDescent="0.3">
      <c r="B32" s="17" t="str">
        <f>'Valuation Engine'!B29</f>
        <v>Union Bank of India</v>
      </c>
      <c r="C32" s="18" t="str">
        <f>'Valuation Engine'!C29</f>
        <v>PSU</v>
      </c>
      <c r="D32" s="19">
        <f>'Valuation Engine'!I29</f>
        <v>7.1887133356400845E-3</v>
      </c>
      <c r="E32" s="11" t="str">
        <f>'Valuation Engine'!J29</f>
        <v>HOLD</v>
      </c>
    </row>
    <row r="33" spans="2:6" x14ac:dyDescent="0.3">
      <c r="B33" s="17" t="str">
        <f>'Valuation Engine'!B30</f>
        <v>Indian Bank</v>
      </c>
      <c r="C33" s="18" t="str">
        <f>'Valuation Engine'!C30</f>
        <v>PSU</v>
      </c>
      <c r="D33" s="19" t="str">
        <f>'Valuation Engine'!I30</f>
        <v>n.a.</v>
      </c>
      <c r="E33" s="11" t="str">
        <f>'Valuation Engine'!J30</f>
        <v>Insufficient data</v>
      </c>
    </row>
    <row r="34" spans="2:6" x14ac:dyDescent="0.3">
      <c r="B34" s="17" t="str">
        <f>'Valuation Engine'!B31</f>
        <v>Bank of India</v>
      </c>
      <c r="C34" s="18" t="str">
        <f>'Valuation Engine'!C31</f>
        <v>PSU</v>
      </c>
      <c r="D34" s="19" t="str">
        <f>'Valuation Engine'!I31</f>
        <v>n.a.</v>
      </c>
      <c r="E34" s="11" t="str">
        <f>'Valuation Engine'!J31</f>
        <v>Insufficient data</v>
      </c>
    </row>
    <row r="35" spans="2:6" x14ac:dyDescent="0.3">
      <c r="B35" s="17" t="str">
        <f>'Valuation Engine'!B32</f>
        <v>UCO Bank</v>
      </c>
      <c r="C35" s="18" t="str">
        <f>'Valuation Engine'!C32</f>
        <v>PSU</v>
      </c>
      <c r="D35" s="19" t="str">
        <f>'Valuation Engine'!I32</f>
        <v>n.a.</v>
      </c>
      <c r="E35" s="11" t="str">
        <f>'Valuation Engine'!J32</f>
        <v>Insufficient data</v>
      </c>
    </row>
    <row r="37" spans="2:6" ht="19.350000000000001" customHeight="1" x14ac:dyDescent="0.3">
      <c r="B37" s="6" t="s">
        <v>26</v>
      </c>
      <c r="C37" s="6"/>
      <c r="D37" s="6"/>
      <c r="E37" s="6"/>
      <c r="F37" s="6"/>
    </row>
  </sheetData>
  <mergeCells count="11">
    <mergeCell ref="B37:F37"/>
    <mergeCell ref="C11:F11"/>
    <mergeCell ref="C12:F12"/>
    <mergeCell ref="C13:F13"/>
    <mergeCell ref="C14:F14"/>
    <mergeCell ref="B17:F17"/>
    <mergeCell ref="B2:F2"/>
    <mergeCell ref="B3:F3"/>
    <mergeCell ref="C5:F5"/>
    <mergeCell ref="C9:F9"/>
    <mergeCell ref="C10:F10"/>
  </mergeCells>
  <conditionalFormatting sqref="E21:E35">
    <cfRule type="cellIs" dxfId="7" priority="2" operator="equal">
      <formula>"BUY"</formula>
    </cfRule>
    <cfRule type="cellIs" dxfId="6" priority="3" operator="equal">
      <formula>"SELL"</formula>
    </cfRule>
    <cfRule type="cellIs" dxfId="5" priority="4" operator="equal">
      <formula>"HOLD"</formula>
    </cfRule>
    <cfRule type="cellIs" dxfId="4" priority="5" operator="equal">
      <formula>"Insufficient data"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532D"/>
    <pageSetUpPr fitToPage="1"/>
  </sheetPr>
  <dimension ref="B2:D21"/>
  <sheetViews>
    <sheetView showGridLines="0" zoomScaleNormal="100" workbookViewId="0">
      <pane xSplit="2" ySplit="4" topLeftCell="C19" activePane="bottomRight" state="frozen"/>
      <selection pane="topRight" activeCell="C1" sqref="C1"/>
      <selection pane="bottomLeft" activeCell="A5" sqref="A5"/>
      <selection pane="bottomRight" activeCell="G18" sqref="G18"/>
    </sheetView>
  </sheetViews>
  <sheetFormatPr defaultColWidth="8.6640625" defaultRowHeight="14.4" x14ac:dyDescent="0.3"/>
  <cols>
    <col min="1" max="1" width="3" customWidth="1"/>
    <col min="2" max="2" width="36.44140625" customWidth="1"/>
    <col min="3" max="3" width="18" customWidth="1"/>
    <col min="4" max="4" width="87.33203125" customWidth="1"/>
    <col min="5" max="5" width="3" customWidth="1"/>
  </cols>
  <sheetData>
    <row r="2" spans="2:4" ht="17.399999999999999" x14ac:dyDescent="0.3">
      <c r="B2" s="5" t="s">
        <v>27</v>
      </c>
      <c r="C2" s="5"/>
      <c r="D2" s="5"/>
    </row>
    <row r="4" spans="2:4" ht="19.5" customHeight="1" x14ac:dyDescent="0.3">
      <c r="B4" s="13" t="s">
        <v>28</v>
      </c>
      <c r="C4" s="14"/>
      <c r="D4" s="14"/>
    </row>
    <row r="5" spans="2:4" ht="40.200000000000003" x14ac:dyDescent="0.3">
      <c r="B5" s="20" t="s">
        <v>29</v>
      </c>
      <c r="C5" s="12" t="s">
        <v>30</v>
      </c>
      <c r="D5" s="15" t="s">
        <v>31</v>
      </c>
    </row>
    <row r="6" spans="2:4" ht="40.200000000000003" x14ac:dyDescent="0.3">
      <c r="B6" s="20" t="s">
        <v>32</v>
      </c>
      <c r="C6" s="12" t="s">
        <v>33</v>
      </c>
      <c r="D6" s="15" t="s">
        <v>34</v>
      </c>
    </row>
    <row r="7" spans="2:4" ht="53.4" x14ac:dyDescent="0.3">
      <c r="B7" s="20" t="s">
        <v>35</v>
      </c>
      <c r="C7" s="12" t="s">
        <v>36</v>
      </c>
      <c r="D7" s="15" t="s">
        <v>37</v>
      </c>
    </row>
    <row r="8" spans="2:4" ht="66.599999999999994" x14ac:dyDescent="0.3">
      <c r="B8" s="20" t="s">
        <v>38</v>
      </c>
      <c r="C8" s="12" t="s">
        <v>39</v>
      </c>
      <c r="D8" s="15" t="s">
        <v>40</v>
      </c>
    </row>
    <row r="10" spans="2:4" ht="19.5" customHeight="1" x14ac:dyDescent="0.3">
      <c r="B10" s="13" t="s">
        <v>41</v>
      </c>
      <c r="C10" s="14"/>
      <c r="D10" s="14"/>
    </row>
    <row r="11" spans="2:4" ht="39.75" customHeight="1" x14ac:dyDescent="0.3">
      <c r="B11" s="7" t="s">
        <v>42</v>
      </c>
      <c r="C11" s="7"/>
      <c r="D11" s="7"/>
    </row>
    <row r="12" spans="2:4" x14ac:dyDescent="0.3">
      <c r="B12" s="16" t="s">
        <v>43</v>
      </c>
      <c r="C12" s="16" t="s">
        <v>44</v>
      </c>
      <c r="D12" s="16" t="s">
        <v>45</v>
      </c>
    </row>
    <row r="13" spans="2:4" ht="45.75" customHeight="1" x14ac:dyDescent="0.3">
      <c r="B13" s="11" t="s">
        <v>46</v>
      </c>
      <c r="C13" s="15" t="s">
        <v>47</v>
      </c>
      <c r="D13" s="15" t="s">
        <v>48</v>
      </c>
    </row>
    <row r="14" spans="2:4" ht="52.8" customHeight="1" x14ac:dyDescent="0.3">
      <c r="B14" s="11" t="s">
        <v>49</v>
      </c>
      <c r="C14" s="15" t="s">
        <v>50</v>
      </c>
      <c r="D14" s="15" t="s">
        <v>51</v>
      </c>
    </row>
    <row r="15" spans="2:4" ht="81" customHeight="1" x14ac:dyDescent="0.3">
      <c r="B15" s="11" t="s">
        <v>52</v>
      </c>
      <c r="C15" s="15" t="s">
        <v>53</v>
      </c>
      <c r="D15" s="15" t="s">
        <v>54</v>
      </c>
    </row>
    <row r="16" spans="2:4" ht="82.2" customHeight="1" x14ac:dyDescent="0.3">
      <c r="B16" s="11" t="s">
        <v>55</v>
      </c>
      <c r="C16" s="15" t="s">
        <v>56</v>
      </c>
      <c r="D16" s="15" t="s">
        <v>57</v>
      </c>
    </row>
    <row r="17" spans="2:4" ht="124.2" customHeight="1" x14ac:dyDescent="0.3">
      <c r="B17" s="11" t="s">
        <v>58</v>
      </c>
      <c r="C17" s="15" t="s">
        <v>59</v>
      </c>
      <c r="D17" s="15" t="s">
        <v>60</v>
      </c>
    </row>
    <row r="18" spans="2:4" ht="89.4" customHeight="1" x14ac:dyDescent="0.3">
      <c r="B18" s="11" t="s">
        <v>61</v>
      </c>
      <c r="C18" s="15" t="s">
        <v>62</v>
      </c>
      <c r="D18" s="15" t="s">
        <v>63</v>
      </c>
    </row>
    <row r="19" spans="2:4" ht="78" customHeight="1" x14ac:dyDescent="0.3">
      <c r="B19" s="11" t="s">
        <v>64</v>
      </c>
      <c r="C19" s="15" t="s">
        <v>65</v>
      </c>
      <c r="D19" s="15" t="s">
        <v>66</v>
      </c>
    </row>
    <row r="21" spans="2:4" ht="37.35" customHeight="1" x14ac:dyDescent="0.3">
      <c r="B21" s="6" t="s">
        <v>67</v>
      </c>
      <c r="C21" s="6"/>
      <c r="D21" s="6"/>
    </row>
  </sheetData>
  <mergeCells count="3">
    <mergeCell ref="B2:D2"/>
    <mergeCell ref="B11:D11"/>
    <mergeCell ref="B21:D2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13F12"/>
    <pageSetUpPr fitToPage="1"/>
  </sheetPr>
  <dimension ref="B2:C28"/>
  <sheetViews>
    <sheetView showGridLines="0" zoomScaleNormal="100" workbookViewId="0">
      <pane xSplit="2" ySplit="4" topLeftCell="AG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34" customWidth="1"/>
    <col min="3" max="3" width="46" customWidth="1"/>
    <col min="4" max="4" width="3" customWidth="1"/>
  </cols>
  <sheetData>
    <row r="2" spans="2:3" ht="17.399999999999999" x14ac:dyDescent="0.3">
      <c r="B2" s="5" t="s">
        <v>68</v>
      </c>
      <c r="C2" s="5"/>
    </row>
    <row r="4" spans="2:3" ht="19.5" customHeight="1" x14ac:dyDescent="0.3">
      <c r="B4" s="13" t="s">
        <v>69</v>
      </c>
      <c r="C4" s="14"/>
    </row>
    <row r="5" spans="2:3" x14ac:dyDescent="0.3">
      <c r="B5" s="16" t="s">
        <v>70</v>
      </c>
      <c r="C5" s="16" t="s">
        <v>71</v>
      </c>
    </row>
    <row r="6" spans="2:3" ht="40.200000000000003" x14ac:dyDescent="0.3">
      <c r="B6" s="11" t="s">
        <v>72</v>
      </c>
      <c r="C6" s="15" t="s">
        <v>73</v>
      </c>
    </row>
    <row r="7" spans="2:3" x14ac:dyDescent="0.3">
      <c r="B7" s="11" t="s">
        <v>74</v>
      </c>
      <c r="C7" s="15" t="s">
        <v>75</v>
      </c>
    </row>
    <row r="8" spans="2:3" ht="27" x14ac:dyDescent="0.3">
      <c r="B8" s="11" t="s">
        <v>76</v>
      </c>
      <c r="C8" s="15" t="s">
        <v>77</v>
      </c>
    </row>
    <row r="9" spans="2:3" x14ac:dyDescent="0.3">
      <c r="B9" s="11" t="s">
        <v>76</v>
      </c>
      <c r="C9" s="15" t="s">
        <v>78</v>
      </c>
    </row>
    <row r="10" spans="2:3" ht="27" x14ac:dyDescent="0.3">
      <c r="B10" s="11" t="s">
        <v>76</v>
      </c>
      <c r="C10" s="15" t="s">
        <v>79</v>
      </c>
    </row>
    <row r="11" spans="2:3" x14ac:dyDescent="0.3">
      <c r="B11" s="11" t="s">
        <v>76</v>
      </c>
      <c r="C11" s="15" t="s">
        <v>80</v>
      </c>
    </row>
    <row r="13" spans="2:3" ht="69.599999999999994" customHeight="1" x14ac:dyDescent="0.3">
      <c r="B13" s="6" t="s">
        <v>81</v>
      </c>
      <c r="C13" s="6"/>
    </row>
    <row r="15" spans="2:3" ht="19.5" customHeight="1" x14ac:dyDescent="0.3">
      <c r="B15" s="13" t="s">
        <v>82</v>
      </c>
      <c r="C15" s="14"/>
    </row>
    <row r="16" spans="2:3" x14ac:dyDescent="0.3">
      <c r="B16" s="16" t="s">
        <v>83</v>
      </c>
      <c r="C16" s="16" t="s">
        <v>84</v>
      </c>
    </row>
    <row r="17" spans="2:3" ht="94.5" customHeight="1" x14ac:dyDescent="0.3">
      <c r="B17" s="21" t="s">
        <v>85</v>
      </c>
      <c r="C17" s="22" t="s">
        <v>86</v>
      </c>
    </row>
    <row r="18" spans="2:3" ht="94.5" customHeight="1" x14ac:dyDescent="0.3">
      <c r="B18" s="21" t="s">
        <v>87</v>
      </c>
      <c r="C18" s="22" t="s">
        <v>88</v>
      </c>
    </row>
    <row r="19" spans="2:3" ht="94.5" customHeight="1" x14ac:dyDescent="0.3">
      <c r="B19" s="21" t="s">
        <v>89</v>
      </c>
      <c r="C19" s="22" t="s">
        <v>90</v>
      </c>
    </row>
    <row r="20" spans="2:3" ht="94.5" customHeight="1" x14ac:dyDescent="0.3">
      <c r="B20" s="21" t="s">
        <v>91</v>
      </c>
      <c r="C20" s="22" t="s">
        <v>92</v>
      </c>
    </row>
    <row r="22" spans="2:3" ht="19.5" customHeight="1" x14ac:dyDescent="0.3">
      <c r="B22" s="13" t="s">
        <v>93</v>
      </c>
      <c r="C22" s="14"/>
    </row>
    <row r="23" spans="2:3" x14ac:dyDescent="0.3">
      <c r="B23" s="20" t="s">
        <v>94</v>
      </c>
      <c r="C23" s="20" t="s">
        <v>95</v>
      </c>
    </row>
    <row r="24" spans="2:3" x14ac:dyDescent="0.3">
      <c r="B24" s="20" t="s">
        <v>96</v>
      </c>
      <c r="C24" s="20" t="s">
        <v>97</v>
      </c>
    </row>
    <row r="25" spans="2:3" x14ac:dyDescent="0.3">
      <c r="B25" s="20" t="s">
        <v>98</v>
      </c>
      <c r="C25" s="20" t="s">
        <v>99</v>
      </c>
    </row>
    <row r="26" spans="2:3" x14ac:dyDescent="0.3">
      <c r="B26" s="20" t="s">
        <v>100</v>
      </c>
      <c r="C26" s="20" t="s">
        <v>101</v>
      </c>
    </row>
    <row r="28" spans="2:3" ht="55.2" customHeight="1" x14ac:dyDescent="0.3">
      <c r="B28" s="6" t="s">
        <v>102</v>
      </c>
      <c r="C28" s="6"/>
    </row>
  </sheetData>
  <mergeCells count="3">
    <mergeCell ref="B2:C2"/>
    <mergeCell ref="B13:C13"/>
    <mergeCell ref="B28:C2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5FA8"/>
    <pageSetUpPr fitToPage="1"/>
  </sheetPr>
  <dimension ref="B2:S2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22" customWidth="1"/>
    <col min="3" max="3" width="8" customWidth="1"/>
    <col min="4" max="4" width="10" customWidth="1"/>
    <col min="5" max="5" width="8" customWidth="1"/>
    <col min="6" max="6" width="10" customWidth="1"/>
    <col min="7" max="19" width="8" customWidth="1"/>
    <col min="20" max="20" width="3" customWidth="1"/>
  </cols>
  <sheetData>
    <row r="2" spans="2:19" ht="16.8" x14ac:dyDescent="0.3">
      <c r="B2" s="4" t="s">
        <v>103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2:19" ht="42" customHeight="1" x14ac:dyDescent="0.3">
      <c r="B4" s="23" t="s">
        <v>22</v>
      </c>
      <c r="C4" s="23" t="s">
        <v>23</v>
      </c>
      <c r="D4" s="23" t="s">
        <v>104</v>
      </c>
      <c r="E4" s="23" t="s">
        <v>105</v>
      </c>
      <c r="F4" s="23" t="s">
        <v>106</v>
      </c>
      <c r="G4" s="23" t="s">
        <v>107</v>
      </c>
      <c r="H4" s="23" t="s">
        <v>108</v>
      </c>
      <c r="I4" s="23" t="s">
        <v>109</v>
      </c>
      <c r="J4" s="23" t="s">
        <v>110</v>
      </c>
      <c r="K4" s="23" t="s">
        <v>111</v>
      </c>
      <c r="L4" s="23" t="s">
        <v>112</v>
      </c>
      <c r="M4" s="23" t="s">
        <v>113</v>
      </c>
      <c r="N4" s="23" t="s">
        <v>114</v>
      </c>
      <c r="O4" s="23" t="s">
        <v>115</v>
      </c>
      <c r="P4" s="23" t="s">
        <v>116</v>
      </c>
      <c r="Q4" s="23" t="s">
        <v>117</v>
      </c>
      <c r="R4" s="23" t="s">
        <v>118</v>
      </c>
      <c r="S4" s="23" t="s">
        <v>119</v>
      </c>
    </row>
    <row r="5" spans="2:19" x14ac:dyDescent="0.3">
      <c r="B5" s="11" t="s">
        <v>120</v>
      </c>
      <c r="C5" s="24" t="s">
        <v>121</v>
      </c>
      <c r="D5" s="25">
        <v>30200</v>
      </c>
      <c r="E5" s="26">
        <v>0.11</v>
      </c>
      <c r="F5" s="25">
        <v>16930</v>
      </c>
      <c r="G5" s="26">
        <v>0.13</v>
      </c>
      <c r="H5" s="27">
        <v>3.5000000000000003E-2</v>
      </c>
      <c r="I5" s="27">
        <v>1.17E-2</v>
      </c>
      <c r="J5" s="27">
        <v>4.1000000000000003E-3</v>
      </c>
      <c r="K5" s="28" t="s">
        <v>122</v>
      </c>
      <c r="L5" s="28" t="s">
        <v>122</v>
      </c>
      <c r="M5" s="28" t="s">
        <v>122</v>
      </c>
      <c r="N5" s="28" t="s">
        <v>122</v>
      </c>
      <c r="O5" s="25">
        <v>1084100</v>
      </c>
      <c r="P5" s="29">
        <v>13.9</v>
      </c>
      <c r="Q5" s="29">
        <v>2.0499999999999998</v>
      </c>
      <c r="R5" s="30">
        <f t="shared" ref="R5:R19" si="0">IFERROR(Q5/P5,"N/A")</f>
        <v>0.14748201438848918</v>
      </c>
      <c r="S5" s="31">
        <f>IF(ISNUMBER(L5),L5,IF(ISNUMBER(R5),R5,"N/A"))</f>
        <v>0.14748201438848918</v>
      </c>
    </row>
    <row r="6" spans="2:19" x14ac:dyDescent="0.3">
      <c r="B6" s="11" t="s">
        <v>123</v>
      </c>
      <c r="C6" s="24" t="s">
        <v>121</v>
      </c>
      <c r="D6" s="28" t="s">
        <v>122</v>
      </c>
      <c r="E6" s="28" t="s">
        <v>122</v>
      </c>
      <c r="F6" s="25">
        <v>14805</v>
      </c>
      <c r="G6" s="26">
        <v>0.159</v>
      </c>
      <c r="H6" s="27">
        <v>0.04</v>
      </c>
      <c r="I6" s="27">
        <v>1.67E-2</v>
      </c>
      <c r="J6" s="27">
        <v>3.5000000000000001E-3</v>
      </c>
      <c r="K6" s="27">
        <v>2.18E-2</v>
      </c>
      <c r="L6" s="28" t="s">
        <v>122</v>
      </c>
      <c r="M6" s="28" t="s">
        <v>122</v>
      </c>
      <c r="N6" s="28" t="s">
        <v>122</v>
      </c>
      <c r="O6" s="25">
        <v>1024000</v>
      </c>
      <c r="P6" s="29">
        <v>18.5</v>
      </c>
      <c r="Q6" s="28" t="s">
        <v>122</v>
      </c>
      <c r="R6" s="30" t="str">
        <f t="shared" si="0"/>
        <v>N/A</v>
      </c>
      <c r="S6" s="31" t="str">
        <f>IF(ISNUMBER(L6),L6,IF(ISNUMBER(R6),R6,"N/A"))</f>
        <v>N/A</v>
      </c>
    </row>
    <row r="7" spans="2:19" x14ac:dyDescent="0.3">
      <c r="B7" s="11" t="s">
        <v>124</v>
      </c>
      <c r="C7" s="24" t="s">
        <v>121</v>
      </c>
      <c r="D7" s="28" t="s">
        <v>122</v>
      </c>
      <c r="E7" s="28" t="s">
        <v>122</v>
      </c>
      <c r="F7" s="25">
        <v>6390</v>
      </c>
      <c r="G7" s="26">
        <v>0.09</v>
      </c>
      <c r="H7" s="27">
        <v>3.9100000000000003E-2</v>
      </c>
      <c r="I7" s="27">
        <v>1.2800000000000001E-2</v>
      </c>
      <c r="J7" s="27">
        <v>3.8999999999999998E-3</v>
      </c>
      <c r="K7" s="28" t="s">
        <v>122</v>
      </c>
      <c r="L7" s="28" t="s">
        <v>122</v>
      </c>
      <c r="M7" s="28" t="s">
        <v>122</v>
      </c>
      <c r="N7" s="28" t="s">
        <v>122</v>
      </c>
      <c r="O7" s="25">
        <v>391000</v>
      </c>
      <c r="P7" s="29">
        <v>13.87</v>
      </c>
      <c r="Q7" s="29">
        <v>1.8</v>
      </c>
      <c r="R7" s="30">
        <f t="shared" si="0"/>
        <v>0.12977649603460709</v>
      </c>
      <c r="S7" s="31">
        <f>IF(ISNUMBER(L7),L7,IF(ISNUMBER(R7),R7,"N/A"))</f>
        <v>0.12977649603460709</v>
      </c>
    </row>
    <row r="8" spans="2:19" x14ac:dyDescent="0.3">
      <c r="B8" s="11" t="s">
        <v>125</v>
      </c>
      <c r="C8" s="24" t="s">
        <v>121</v>
      </c>
      <c r="D8" s="28" t="s">
        <v>122</v>
      </c>
      <c r="E8" s="28" t="s">
        <v>122</v>
      </c>
      <c r="F8" s="25">
        <v>3900</v>
      </c>
      <c r="G8" s="26">
        <v>0.18</v>
      </c>
      <c r="H8" s="28" t="s">
        <v>122</v>
      </c>
      <c r="I8" s="28" t="s">
        <v>122</v>
      </c>
      <c r="J8" s="28" t="s">
        <v>122</v>
      </c>
      <c r="K8" s="28" t="s">
        <v>122</v>
      </c>
      <c r="L8" s="28" t="s">
        <v>122</v>
      </c>
      <c r="M8" s="28" t="s">
        <v>122</v>
      </c>
      <c r="N8" s="28" t="s">
        <v>122</v>
      </c>
      <c r="O8" s="25">
        <v>420000</v>
      </c>
      <c r="P8" s="29">
        <v>19.16</v>
      </c>
      <c r="Q8" s="29">
        <v>2.15</v>
      </c>
      <c r="R8" s="30">
        <f t="shared" si="0"/>
        <v>0.11221294363256784</v>
      </c>
      <c r="S8" s="31">
        <f>IF(ISNUMBER(L8),L8,IF(ISNUMBER(R8),R8,"N/A"))</f>
        <v>0.11221294363256784</v>
      </c>
    </row>
    <row r="9" spans="2:19" x14ac:dyDescent="0.3">
      <c r="B9" s="11" t="s">
        <v>126</v>
      </c>
      <c r="C9" s="24" t="s">
        <v>121</v>
      </c>
      <c r="D9" s="25">
        <v>4685</v>
      </c>
      <c r="E9" s="26">
        <v>0.01</v>
      </c>
      <c r="F9" s="25">
        <v>1037</v>
      </c>
      <c r="G9" s="26">
        <v>0.72</v>
      </c>
      <c r="H9" s="27">
        <v>3.5700000000000003E-2</v>
      </c>
      <c r="I9" s="27">
        <v>3.2500000000000001E-2</v>
      </c>
      <c r="J9" s="28" t="s">
        <v>122</v>
      </c>
      <c r="K9" s="28" t="s">
        <v>122</v>
      </c>
      <c r="L9" s="28" t="s">
        <v>122</v>
      </c>
      <c r="M9" s="26">
        <v>0.17150000000000001</v>
      </c>
      <c r="N9" s="28" t="s">
        <v>122</v>
      </c>
      <c r="O9" s="25">
        <v>81665</v>
      </c>
      <c r="P9" s="32" t="s">
        <v>127</v>
      </c>
      <c r="Q9" s="29">
        <v>1.27</v>
      </c>
      <c r="R9" s="30" t="str">
        <f t="shared" si="0"/>
        <v>N/A</v>
      </c>
      <c r="S9" s="32" t="s">
        <v>122</v>
      </c>
    </row>
    <row r="10" spans="2:19" x14ac:dyDescent="0.3">
      <c r="B10" s="11" t="s">
        <v>128</v>
      </c>
      <c r="C10" s="24" t="s">
        <v>121</v>
      </c>
      <c r="D10" s="25">
        <v>2946</v>
      </c>
      <c r="E10" s="26">
        <v>0.26</v>
      </c>
      <c r="F10" s="25">
        <v>1177</v>
      </c>
      <c r="G10" s="26">
        <v>0.37</v>
      </c>
      <c r="H10" s="28" t="s">
        <v>122</v>
      </c>
      <c r="I10" s="27">
        <v>1.52E-2</v>
      </c>
      <c r="J10" s="27">
        <v>1.8E-3</v>
      </c>
      <c r="K10" s="28" t="s">
        <v>122</v>
      </c>
      <c r="L10" s="28" t="s">
        <v>122</v>
      </c>
      <c r="M10" s="26">
        <v>0.16969999999999999</v>
      </c>
      <c r="N10" s="28" t="s">
        <v>122</v>
      </c>
      <c r="O10" s="25">
        <v>84485</v>
      </c>
      <c r="P10" s="29">
        <v>14.8</v>
      </c>
      <c r="Q10" s="28" t="s">
        <v>122</v>
      </c>
      <c r="R10" s="30" t="str">
        <f t="shared" si="0"/>
        <v>N/A</v>
      </c>
      <c r="S10" s="31" t="str">
        <f>IF(ISNUMBER(L10),L10,IF(ISNUMBER(R10),R10,"N/A"))</f>
        <v>N/A</v>
      </c>
    </row>
    <row r="11" spans="2:19" x14ac:dyDescent="0.3">
      <c r="B11" s="11" t="s">
        <v>129</v>
      </c>
      <c r="C11" s="24" t="s">
        <v>121</v>
      </c>
      <c r="D11" s="25">
        <v>5972</v>
      </c>
      <c r="E11" s="26">
        <v>0.21099999999999999</v>
      </c>
      <c r="F11" s="25">
        <v>1075</v>
      </c>
      <c r="G11" s="26">
        <v>1.3240000000000001</v>
      </c>
      <c r="H11" s="27">
        <v>5.96E-2</v>
      </c>
      <c r="I11" s="27">
        <v>1.5100000000000001E-2</v>
      </c>
      <c r="J11" s="27">
        <v>4.4000000000000003E-3</v>
      </c>
      <c r="K11" s="27">
        <v>1.06E-2</v>
      </c>
      <c r="L11" s="28" t="s">
        <v>122</v>
      </c>
      <c r="M11" s="26">
        <v>0.15049999999999999</v>
      </c>
      <c r="N11" s="26">
        <v>0.1333</v>
      </c>
      <c r="O11" s="25">
        <v>72650</v>
      </c>
      <c r="P11" s="29">
        <v>35</v>
      </c>
      <c r="Q11" s="29">
        <v>1.44</v>
      </c>
      <c r="R11" s="30">
        <f t="shared" si="0"/>
        <v>4.1142857142857141E-2</v>
      </c>
      <c r="S11" s="32" t="s">
        <v>122</v>
      </c>
    </row>
    <row r="12" spans="2:19" x14ac:dyDescent="0.3">
      <c r="B12" s="11" t="s">
        <v>130</v>
      </c>
      <c r="C12" s="33" t="s">
        <v>131</v>
      </c>
      <c r="D12" s="25">
        <v>46992</v>
      </c>
      <c r="E12" s="26">
        <v>0.14879999999999999</v>
      </c>
      <c r="F12" s="25">
        <v>21121</v>
      </c>
      <c r="G12" s="26">
        <v>0.1023</v>
      </c>
      <c r="H12" s="27">
        <v>0.03</v>
      </c>
      <c r="I12" s="27">
        <v>1.47E-2</v>
      </c>
      <c r="J12" s="27">
        <v>3.8E-3</v>
      </c>
      <c r="K12" s="28" t="s">
        <v>122</v>
      </c>
      <c r="L12" s="28" t="s">
        <v>122</v>
      </c>
      <c r="M12" s="28" t="s">
        <v>122</v>
      </c>
      <c r="N12" s="28" t="s">
        <v>122</v>
      </c>
      <c r="O12" s="25">
        <v>947500</v>
      </c>
      <c r="P12" s="29">
        <v>12.19</v>
      </c>
      <c r="Q12" s="28" t="s">
        <v>122</v>
      </c>
      <c r="R12" s="30" t="str">
        <f t="shared" si="0"/>
        <v>N/A</v>
      </c>
      <c r="S12" s="31" t="str">
        <f t="shared" ref="S12:S19" si="1">IF(ISNUMBER(L12),L12,IF(ISNUMBER(R12),R12,"N/A"))</f>
        <v>N/A</v>
      </c>
    </row>
    <row r="13" spans="2:19" x14ac:dyDescent="0.3">
      <c r="B13" s="11" t="s">
        <v>132</v>
      </c>
      <c r="C13" s="33" t="s">
        <v>131</v>
      </c>
      <c r="D13" s="25">
        <v>10798</v>
      </c>
      <c r="E13" s="26">
        <v>2.1000000000000001E-2</v>
      </c>
      <c r="F13" s="25">
        <v>5253</v>
      </c>
      <c r="G13" s="26">
        <v>2.1360000000000001</v>
      </c>
      <c r="H13" s="27">
        <v>2.5000000000000001E-2</v>
      </c>
      <c r="I13" s="27">
        <v>2.7799999999999998E-2</v>
      </c>
      <c r="J13" s="27">
        <v>2.8E-3</v>
      </c>
      <c r="K13" s="27">
        <v>1.04E-2</v>
      </c>
      <c r="L13" s="26">
        <v>0.17330000000000001</v>
      </c>
      <c r="M13" s="26">
        <v>0.18129999999999999</v>
      </c>
      <c r="N13" s="28" t="s">
        <v>122</v>
      </c>
      <c r="O13" s="25">
        <v>132500</v>
      </c>
      <c r="P13" s="29">
        <v>6.4</v>
      </c>
      <c r="Q13" s="29">
        <v>1</v>
      </c>
      <c r="R13" s="30">
        <f t="shared" si="0"/>
        <v>0.15625</v>
      </c>
      <c r="S13" s="31">
        <f t="shared" si="1"/>
        <v>0.17330000000000001</v>
      </c>
    </row>
    <row r="14" spans="2:19" x14ac:dyDescent="0.3">
      <c r="B14" s="11" t="s">
        <v>133</v>
      </c>
      <c r="C14" s="33" t="s">
        <v>131</v>
      </c>
      <c r="D14" s="25">
        <v>12524</v>
      </c>
      <c r="E14" s="26">
        <v>9.5000000000000001E-2</v>
      </c>
      <c r="F14" s="25">
        <v>1278</v>
      </c>
      <c r="G14" s="26">
        <v>-0.72</v>
      </c>
      <c r="H14" s="27">
        <v>2.7699999999999999E-2</v>
      </c>
      <c r="I14" s="27">
        <v>1.9900000000000001E-2</v>
      </c>
      <c r="J14" s="27">
        <v>5.0000000000000001E-3</v>
      </c>
      <c r="K14" s="27">
        <v>1.0800000000000001E-2</v>
      </c>
      <c r="L14" s="26">
        <v>0.15379999999999999</v>
      </c>
      <c r="M14" s="28" t="s">
        <v>122</v>
      </c>
      <c r="N14" s="28" t="s">
        <v>122</v>
      </c>
      <c r="O14" s="25">
        <v>123400</v>
      </c>
      <c r="P14" s="29">
        <v>6.98</v>
      </c>
      <c r="Q14" s="29">
        <v>0.76</v>
      </c>
      <c r="R14" s="30">
        <f t="shared" si="0"/>
        <v>0.10888252148997134</v>
      </c>
      <c r="S14" s="31">
        <f t="shared" si="1"/>
        <v>0.15379999999999999</v>
      </c>
    </row>
    <row r="15" spans="2:19" x14ac:dyDescent="0.3">
      <c r="B15" s="11" t="s">
        <v>134</v>
      </c>
      <c r="C15" s="33" t="s">
        <v>131</v>
      </c>
      <c r="D15" s="25">
        <v>10215</v>
      </c>
      <c r="E15" s="26">
        <v>0.13400000000000001</v>
      </c>
      <c r="F15" s="25">
        <v>4856</v>
      </c>
      <c r="G15" s="26">
        <v>2.1999999999999999E-2</v>
      </c>
      <c r="H15" s="27">
        <v>2.52E-2</v>
      </c>
      <c r="I15" s="28" t="s">
        <v>122</v>
      </c>
      <c r="J15" s="28" t="s">
        <v>122</v>
      </c>
      <c r="K15" s="28" t="s">
        <v>122</v>
      </c>
      <c r="L15" s="28" t="s">
        <v>122</v>
      </c>
      <c r="M15" s="28" t="s">
        <v>122</v>
      </c>
      <c r="N15" s="28" t="s">
        <v>122</v>
      </c>
      <c r="O15" s="25">
        <v>114000</v>
      </c>
      <c r="P15" s="29">
        <v>5.92</v>
      </c>
      <c r="Q15" s="29">
        <v>1</v>
      </c>
      <c r="R15" s="30">
        <f t="shared" si="0"/>
        <v>0.16891891891891891</v>
      </c>
      <c r="S15" s="31">
        <f t="shared" si="1"/>
        <v>0.16891891891891891</v>
      </c>
    </row>
    <row r="16" spans="2:19" x14ac:dyDescent="0.3">
      <c r="B16" s="11" t="s">
        <v>135</v>
      </c>
      <c r="C16" s="33" t="s">
        <v>131</v>
      </c>
      <c r="D16" s="25">
        <v>10037</v>
      </c>
      <c r="E16" s="26">
        <v>0.10100000000000001</v>
      </c>
      <c r="F16" s="25">
        <v>5332</v>
      </c>
      <c r="G16" s="26">
        <v>0.29499999999999998</v>
      </c>
      <c r="H16" s="27">
        <v>2.76E-2</v>
      </c>
      <c r="I16" s="27">
        <v>2.6499999999999999E-2</v>
      </c>
      <c r="J16" s="27">
        <v>4.7000000000000002E-3</v>
      </c>
      <c r="K16" s="28" t="s">
        <v>122</v>
      </c>
      <c r="L16" s="28" t="s">
        <v>122</v>
      </c>
      <c r="M16" s="26">
        <v>0.18459999999999999</v>
      </c>
      <c r="N16" s="28" t="s">
        <v>122</v>
      </c>
      <c r="O16" s="25">
        <v>139580</v>
      </c>
      <c r="P16" s="29">
        <v>6.9</v>
      </c>
      <c r="Q16" s="29">
        <v>1</v>
      </c>
      <c r="R16" s="30">
        <f t="shared" si="0"/>
        <v>0.14492753623188406</v>
      </c>
      <c r="S16" s="31">
        <f t="shared" si="1"/>
        <v>0.14492753623188406</v>
      </c>
    </row>
    <row r="17" spans="2:19" x14ac:dyDescent="0.3">
      <c r="B17" s="11" t="s">
        <v>136</v>
      </c>
      <c r="C17" s="33" t="s">
        <v>131</v>
      </c>
      <c r="D17" s="25">
        <v>7435</v>
      </c>
      <c r="E17" s="26">
        <v>0.17</v>
      </c>
      <c r="F17" s="28" t="s">
        <v>122</v>
      </c>
      <c r="G17" s="26">
        <v>0.1</v>
      </c>
      <c r="H17" s="27">
        <v>3.4099999999999998E-2</v>
      </c>
      <c r="I17" s="27">
        <v>1.8599999999999998E-2</v>
      </c>
      <c r="J17" s="27">
        <v>1.5E-3</v>
      </c>
      <c r="K17" s="28" t="s">
        <v>122</v>
      </c>
      <c r="L17" s="28" t="s">
        <v>122</v>
      </c>
      <c r="M17" s="28" t="s">
        <v>122</v>
      </c>
      <c r="N17" s="28" t="s">
        <v>122</v>
      </c>
      <c r="O17" s="25">
        <v>114000</v>
      </c>
      <c r="P17" s="29">
        <v>10.42</v>
      </c>
      <c r="Q17" s="28" t="s">
        <v>122</v>
      </c>
      <c r="R17" s="30" t="str">
        <f t="shared" si="0"/>
        <v>N/A</v>
      </c>
      <c r="S17" s="31" t="str">
        <f t="shared" si="1"/>
        <v>N/A</v>
      </c>
    </row>
    <row r="18" spans="2:19" x14ac:dyDescent="0.3">
      <c r="B18" s="11" t="s">
        <v>137</v>
      </c>
      <c r="C18" s="33" t="s">
        <v>131</v>
      </c>
      <c r="D18" s="25">
        <v>6833</v>
      </c>
      <c r="E18" s="26">
        <v>0.12609999999999999</v>
      </c>
      <c r="F18" s="25">
        <v>3068</v>
      </c>
      <c r="G18" s="26">
        <v>0.36</v>
      </c>
      <c r="H18" s="28" t="s">
        <v>122</v>
      </c>
      <c r="I18" s="28" t="s">
        <v>122</v>
      </c>
      <c r="J18" s="28" t="s">
        <v>122</v>
      </c>
      <c r="K18" s="28" t="s">
        <v>122</v>
      </c>
      <c r="L18" s="28" t="s">
        <v>122</v>
      </c>
      <c r="M18" s="28" t="s">
        <v>122</v>
      </c>
      <c r="N18" s="28" t="s">
        <v>122</v>
      </c>
      <c r="O18" s="25">
        <v>64900</v>
      </c>
      <c r="P18" s="29">
        <v>6.71</v>
      </c>
      <c r="Q18" s="28" t="s">
        <v>122</v>
      </c>
      <c r="R18" s="30" t="str">
        <f t="shared" si="0"/>
        <v>N/A</v>
      </c>
      <c r="S18" s="31" t="str">
        <f t="shared" si="1"/>
        <v>N/A</v>
      </c>
    </row>
    <row r="19" spans="2:19" x14ac:dyDescent="0.3">
      <c r="B19" s="11" t="s">
        <v>138</v>
      </c>
      <c r="C19" s="33" t="s">
        <v>131</v>
      </c>
      <c r="D19" s="28" t="s">
        <v>122</v>
      </c>
      <c r="E19" s="28" t="s">
        <v>122</v>
      </c>
      <c r="F19" s="25">
        <v>656</v>
      </c>
      <c r="G19" s="26">
        <v>0.08</v>
      </c>
      <c r="H19" s="27">
        <v>3.0499999999999999E-2</v>
      </c>
      <c r="I19" s="27">
        <v>2.0799999999999999E-2</v>
      </c>
      <c r="J19" s="27">
        <v>2.5000000000000001E-3</v>
      </c>
      <c r="K19" s="28" t="s">
        <v>122</v>
      </c>
      <c r="L19" s="28" t="s">
        <v>122</v>
      </c>
      <c r="M19" s="26">
        <v>0.1903</v>
      </c>
      <c r="N19" s="28" t="s">
        <v>122</v>
      </c>
      <c r="O19" s="25">
        <v>36700</v>
      </c>
      <c r="P19" s="29">
        <v>15.48</v>
      </c>
      <c r="Q19" s="28" t="s">
        <v>122</v>
      </c>
      <c r="R19" s="30" t="str">
        <f t="shared" si="0"/>
        <v>N/A</v>
      </c>
      <c r="S19" s="31" t="str">
        <f t="shared" si="1"/>
        <v>N/A</v>
      </c>
    </row>
    <row r="21" spans="2:19" ht="19.350000000000001" customHeight="1" x14ac:dyDescent="0.3">
      <c r="B21" s="6" t="s">
        <v>139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2:19" ht="15" customHeight="1" x14ac:dyDescent="0.3">
      <c r="B22" s="6" t="s">
        <v>140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</sheetData>
  <mergeCells count="3">
    <mergeCell ref="B2:S2"/>
    <mergeCell ref="B21:S21"/>
    <mergeCell ref="B22:S22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C1D95"/>
    <pageSetUpPr fitToPage="1"/>
  </sheetPr>
  <dimension ref="B2:J3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22" customWidth="1"/>
    <col min="3" max="3" width="8" customWidth="1"/>
    <col min="4" max="8" width="10" customWidth="1"/>
    <col min="9" max="9" width="12" customWidth="1"/>
    <col min="10" max="10" width="10" customWidth="1"/>
    <col min="11" max="11" width="3" customWidth="1"/>
  </cols>
  <sheetData>
    <row r="2" spans="2:10" ht="16.8" x14ac:dyDescent="0.3">
      <c r="B2" s="4" t="s">
        <v>141</v>
      </c>
      <c r="C2" s="4"/>
      <c r="D2" s="4"/>
      <c r="E2" s="4"/>
      <c r="F2" s="4"/>
      <c r="G2" s="4"/>
      <c r="H2" s="4"/>
      <c r="I2" s="4"/>
      <c r="J2" s="4"/>
    </row>
    <row r="4" spans="2:10" ht="19.5" customHeight="1" x14ac:dyDescent="0.3">
      <c r="B4" s="34" t="s">
        <v>142</v>
      </c>
      <c r="C4" s="35"/>
      <c r="D4" s="35"/>
      <c r="E4" s="35"/>
      <c r="F4" s="35"/>
      <c r="G4" s="35"/>
      <c r="H4" s="35"/>
      <c r="I4" s="35"/>
      <c r="J4" s="35"/>
    </row>
    <row r="5" spans="2:10" x14ac:dyDescent="0.3">
      <c r="B5" s="20" t="s">
        <v>143</v>
      </c>
      <c r="C5" s="36">
        <v>6.9500000000000006E-2</v>
      </c>
    </row>
    <row r="6" spans="2:10" x14ac:dyDescent="0.3">
      <c r="B6" s="20" t="s">
        <v>144</v>
      </c>
      <c r="C6" s="37">
        <v>6.5000000000000002E-2</v>
      </c>
    </row>
    <row r="7" spans="2:10" x14ac:dyDescent="0.3">
      <c r="B7" s="20" t="s">
        <v>145</v>
      </c>
      <c r="C7" s="38">
        <v>1</v>
      </c>
    </row>
    <row r="8" spans="2:10" x14ac:dyDescent="0.3">
      <c r="B8" s="20" t="s">
        <v>146</v>
      </c>
      <c r="C8" s="38">
        <v>1.1499999999999999</v>
      </c>
    </row>
    <row r="9" spans="2:10" x14ac:dyDescent="0.3">
      <c r="B9" s="11" t="s">
        <v>147</v>
      </c>
      <c r="C9" s="39">
        <f>C5+C7*C6</f>
        <v>0.13450000000000001</v>
      </c>
    </row>
    <row r="10" spans="2:10" x14ac:dyDescent="0.3">
      <c r="B10" s="11" t="s">
        <v>148</v>
      </c>
      <c r="C10" s="39">
        <f>C5+C8*C6</f>
        <v>0.14424999999999999</v>
      </c>
    </row>
    <row r="11" spans="2:10" x14ac:dyDescent="0.3">
      <c r="B11" s="20" t="s">
        <v>149</v>
      </c>
      <c r="C11" s="37">
        <v>0.06</v>
      </c>
    </row>
    <row r="12" spans="2:10" x14ac:dyDescent="0.3">
      <c r="B12" s="20" t="s">
        <v>150</v>
      </c>
      <c r="C12" s="37">
        <v>0.05</v>
      </c>
    </row>
    <row r="14" spans="2:10" ht="28.35" customHeight="1" x14ac:dyDescent="0.3">
      <c r="B14" s="6" t="s">
        <v>151</v>
      </c>
      <c r="C14" s="6"/>
      <c r="D14" s="6"/>
      <c r="E14" s="6"/>
      <c r="F14" s="6"/>
      <c r="G14" s="6"/>
      <c r="H14" s="6"/>
      <c r="I14" s="6"/>
      <c r="J14" s="6"/>
    </row>
    <row r="16" spans="2:10" ht="19.5" customHeight="1" x14ac:dyDescent="0.3">
      <c r="B16" s="34" t="s">
        <v>152</v>
      </c>
      <c r="C16" s="35"/>
      <c r="D16" s="35"/>
      <c r="E16" s="35"/>
      <c r="F16" s="35"/>
      <c r="G16" s="35"/>
      <c r="H16" s="35"/>
      <c r="I16" s="35"/>
      <c r="J16" s="35"/>
    </row>
    <row r="17" spans="2:10" ht="31.5" customHeight="1" x14ac:dyDescent="0.3">
      <c r="B17" s="23" t="s">
        <v>22</v>
      </c>
      <c r="C17" s="23" t="s">
        <v>23</v>
      </c>
      <c r="D17" s="23" t="s">
        <v>153</v>
      </c>
      <c r="E17" s="23" t="s">
        <v>154</v>
      </c>
      <c r="F17" s="23" t="s">
        <v>155</v>
      </c>
      <c r="G17" s="23" t="s">
        <v>156</v>
      </c>
      <c r="H17" s="23" t="s">
        <v>157</v>
      </c>
      <c r="I17" s="23" t="s">
        <v>158</v>
      </c>
      <c r="J17" s="23" t="s">
        <v>25</v>
      </c>
    </row>
    <row r="18" spans="2:10" x14ac:dyDescent="0.3">
      <c r="B18" s="11" t="s">
        <v>120</v>
      </c>
      <c r="C18" s="18" t="str">
        <f>'Bank Data'!C5</f>
        <v>Private</v>
      </c>
      <c r="D18" s="19">
        <f>'Bank Data'!S5</f>
        <v>0.14748201438848918</v>
      </c>
      <c r="E18" s="40">
        <f t="shared" ref="E18:E32" si="0">IF(C18="Private",$C$9,$C$10)</f>
        <v>0.13450000000000001</v>
      </c>
      <c r="F18" s="30">
        <f t="shared" ref="F18:F32" si="1">IF(C18="Private",$C$11,$C$12)</f>
        <v>0.06</v>
      </c>
      <c r="G18" s="41">
        <f t="shared" ref="G18:G32" si="2">IFERROR((D18-F18)/(E18-F18),"n.a.")</f>
        <v>1.1742552266911297</v>
      </c>
      <c r="H18" s="42">
        <f>'Bank Data'!Q5</f>
        <v>2.0499999999999998</v>
      </c>
      <c r="I18" s="31">
        <f t="shared" ref="I18:I32" si="3">IFERROR(G18/H18-1,"n.a.")</f>
        <v>-0.42719257234579033</v>
      </c>
      <c r="J18" s="11" t="str">
        <f t="shared" ref="J18:J32" si="4">IF(OR(ISTEXT(G18),ISTEXT(H18)),"Insufficient data",IF(I18&gt;=0.15,"BUY",IF(I18&lt;=-0.1,"SELL","HOLD")))</f>
        <v>SELL</v>
      </c>
    </row>
    <row r="19" spans="2:10" x14ac:dyDescent="0.3">
      <c r="B19" s="11" t="s">
        <v>123</v>
      </c>
      <c r="C19" s="18" t="str">
        <f>'Bank Data'!C6</f>
        <v>Private</v>
      </c>
      <c r="D19" s="19" t="str">
        <f>'Bank Data'!S6</f>
        <v>N/A</v>
      </c>
      <c r="E19" s="40">
        <f t="shared" si="0"/>
        <v>0.13450000000000001</v>
      </c>
      <c r="F19" s="30">
        <f t="shared" si="1"/>
        <v>0.06</v>
      </c>
      <c r="G19" s="41" t="str">
        <f t="shared" si="2"/>
        <v>n.a.</v>
      </c>
      <c r="H19" s="42" t="str">
        <f>'Bank Data'!Q6</f>
        <v>N/A</v>
      </c>
      <c r="I19" s="31" t="str">
        <f t="shared" si="3"/>
        <v>n.a.</v>
      </c>
      <c r="J19" s="11" t="str">
        <f t="shared" si="4"/>
        <v>Insufficient data</v>
      </c>
    </row>
    <row r="20" spans="2:10" x14ac:dyDescent="0.3">
      <c r="B20" s="11" t="s">
        <v>124</v>
      </c>
      <c r="C20" s="18" t="str">
        <f>'Bank Data'!C7</f>
        <v>Private</v>
      </c>
      <c r="D20" s="19">
        <f>'Bank Data'!S7</f>
        <v>0.12977649603460709</v>
      </c>
      <c r="E20" s="40">
        <f t="shared" si="0"/>
        <v>0.13450000000000001</v>
      </c>
      <c r="F20" s="30">
        <f t="shared" si="1"/>
        <v>0.06</v>
      </c>
      <c r="G20" s="41">
        <f t="shared" si="2"/>
        <v>0.93659726220949102</v>
      </c>
      <c r="H20" s="42">
        <f>'Bank Data'!Q7</f>
        <v>1.8</v>
      </c>
      <c r="I20" s="31">
        <f t="shared" si="3"/>
        <v>-0.47966818766139385</v>
      </c>
      <c r="J20" s="11" t="str">
        <f t="shared" si="4"/>
        <v>SELL</v>
      </c>
    </row>
    <row r="21" spans="2:10" x14ac:dyDescent="0.3">
      <c r="B21" s="11" t="s">
        <v>125</v>
      </c>
      <c r="C21" s="18" t="str">
        <f>'Bank Data'!C8</f>
        <v>Private</v>
      </c>
      <c r="D21" s="19">
        <f>'Bank Data'!S8</f>
        <v>0.11221294363256784</v>
      </c>
      <c r="E21" s="40">
        <f t="shared" si="0"/>
        <v>0.13450000000000001</v>
      </c>
      <c r="F21" s="30">
        <f t="shared" si="1"/>
        <v>0.06</v>
      </c>
      <c r="G21" s="41">
        <f t="shared" si="2"/>
        <v>0.70084488097406494</v>
      </c>
      <c r="H21" s="42">
        <f>'Bank Data'!Q8</f>
        <v>2.15</v>
      </c>
      <c r="I21" s="31">
        <f t="shared" si="3"/>
        <v>-0.67402563675624882</v>
      </c>
      <c r="J21" s="11" t="str">
        <f t="shared" si="4"/>
        <v>SELL</v>
      </c>
    </row>
    <row r="22" spans="2:10" x14ac:dyDescent="0.3">
      <c r="B22" s="11" t="s">
        <v>126</v>
      </c>
      <c r="C22" s="18" t="str">
        <f>'Bank Data'!C9</f>
        <v>Private</v>
      </c>
      <c r="D22" s="19" t="str">
        <f>'Bank Data'!S9</f>
        <v>N/A</v>
      </c>
      <c r="E22" s="40">
        <f t="shared" si="0"/>
        <v>0.13450000000000001</v>
      </c>
      <c r="F22" s="30">
        <f t="shared" si="1"/>
        <v>0.06</v>
      </c>
      <c r="G22" s="41" t="str">
        <f t="shared" si="2"/>
        <v>n.a.</v>
      </c>
      <c r="H22" s="42">
        <f>'Bank Data'!Q9</f>
        <v>1.27</v>
      </c>
      <c r="I22" s="31" t="str">
        <f t="shared" si="3"/>
        <v>n.a.</v>
      </c>
      <c r="J22" s="11" t="str">
        <f t="shared" si="4"/>
        <v>Insufficient data</v>
      </c>
    </row>
    <row r="23" spans="2:10" x14ac:dyDescent="0.3">
      <c r="B23" s="11" t="s">
        <v>128</v>
      </c>
      <c r="C23" s="18" t="str">
        <f>'Bank Data'!C10</f>
        <v>Private</v>
      </c>
      <c r="D23" s="19" t="str">
        <f>'Bank Data'!S10</f>
        <v>N/A</v>
      </c>
      <c r="E23" s="40">
        <f t="shared" si="0"/>
        <v>0.13450000000000001</v>
      </c>
      <c r="F23" s="30">
        <f t="shared" si="1"/>
        <v>0.06</v>
      </c>
      <c r="G23" s="41" t="str">
        <f t="shared" si="2"/>
        <v>n.a.</v>
      </c>
      <c r="H23" s="42" t="str">
        <f>'Bank Data'!Q10</f>
        <v>N/A</v>
      </c>
      <c r="I23" s="31" t="str">
        <f t="shared" si="3"/>
        <v>n.a.</v>
      </c>
      <c r="J23" s="11" t="str">
        <f t="shared" si="4"/>
        <v>Insufficient data</v>
      </c>
    </row>
    <row r="24" spans="2:10" x14ac:dyDescent="0.3">
      <c r="B24" s="11" t="s">
        <v>129</v>
      </c>
      <c r="C24" s="18" t="str">
        <f>'Bank Data'!C11</f>
        <v>Private</v>
      </c>
      <c r="D24" s="19" t="str">
        <f>'Bank Data'!S11</f>
        <v>N/A</v>
      </c>
      <c r="E24" s="40">
        <f t="shared" si="0"/>
        <v>0.13450000000000001</v>
      </c>
      <c r="F24" s="30">
        <f t="shared" si="1"/>
        <v>0.06</v>
      </c>
      <c r="G24" s="41" t="str">
        <f t="shared" si="2"/>
        <v>n.a.</v>
      </c>
      <c r="H24" s="42">
        <f>'Bank Data'!Q11</f>
        <v>1.44</v>
      </c>
      <c r="I24" s="31" t="str">
        <f t="shared" si="3"/>
        <v>n.a.</v>
      </c>
      <c r="J24" s="11" t="str">
        <f t="shared" si="4"/>
        <v>Insufficient data</v>
      </c>
    </row>
    <row r="25" spans="2:10" x14ac:dyDescent="0.3">
      <c r="B25" s="11" t="s">
        <v>130</v>
      </c>
      <c r="C25" s="18" t="str">
        <f>'Bank Data'!C12</f>
        <v>PSU</v>
      </c>
      <c r="D25" s="19" t="str">
        <f>'Bank Data'!S12</f>
        <v>N/A</v>
      </c>
      <c r="E25" s="40">
        <f t="shared" si="0"/>
        <v>0.14424999999999999</v>
      </c>
      <c r="F25" s="30">
        <f t="shared" si="1"/>
        <v>0.05</v>
      </c>
      <c r="G25" s="41" t="str">
        <f t="shared" si="2"/>
        <v>n.a.</v>
      </c>
      <c r="H25" s="42" t="str">
        <f>'Bank Data'!Q12</f>
        <v>N/A</v>
      </c>
      <c r="I25" s="31" t="str">
        <f t="shared" si="3"/>
        <v>n.a.</v>
      </c>
      <c r="J25" s="11" t="str">
        <f t="shared" si="4"/>
        <v>Insufficient data</v>
      </c>
    </row>
    <row r="26" spans="2:10" x14ac:dyDescent="0.3">
      <c r="B26" s="11" t="s">
        <v>132</v>
      </c>
      <c r="C26" s="18" t="str">
        <f>'Bank Data'!C13</f>
        <v>PSU</v>
      </c>
      <c r="D26" s="19">
        <f>'Bank Data'!S13</f>
        <v>0.17330000000000001</v>
      </c>
      <c r="E26" s="40">
        <f t="shared" si="0"/>
        <v>0.14424999999999999</v>
      </c>
      <c r="F26" s="30">
        <f t="shared" si="1"/>
        <v>0.05</v>
      </c>
      <c r="G26" s="41">
        <f t="shared" si="2"/>
        <v>1.3082228116710879</v>
      </c>
      <c r="H26" s="42">
        <f>'Bank Data'!Q13</f>
        <v>1</v>
      </c>
      <c r="I26" s="31">
        <f t="shared" si="3"/>
        <v>0.30822281167108789</v>
      </c>
      <c r="J26" s="11" t="str">
        <f t="shared" si="4"/>
        <v>BUY</v>
      </c>
    </row>
    <row r="27" spans="2:10" x14ac:dyDescent="0.3">
      <c r="B27" s="11" t="s">
        <v>133</v>
      </c>
      <c r="C27" s="18" t="str">
        <f>'Bank Data'!C14</f>
        <v>PSU</v>
      </c>
      <c r="D27" s="19">
        <f>'Bank Data'!S14</f>
        <v>0.15379999999999999</v>
      </c>
      <c r="E27" s="40">
        <f t="shared" si="0"/>
        <v>0.14424999999999999</v>
      </c>
      <c r="F27" s="30">
        <f t="shared" si="1"/>
        <v>0.05</v>
      </c>
      <c r="G27" s="41">
        <f t="shared" si="2"/>
        <v>1.1013262599469495</v>
      </c>
      <c r="H27" s="42">
        <f>'Bank Data'!Q14</f>
        <v>0.76</v>
      </c>
      <c r="I27" s="31">
        <f t="shared" si="3"/>
        <v>0.44911349993019667</v>
      </c>
      <c r="J27" s="11" t="str">
        <f t="shared" si="4"/>
        <v>BUY</v>
      </c>
    </row>
    <row r="28" spans="2:10" x14ac:dyDescent="0.3">
      <c r="B28" s="11" t="s">
        <v>134</v>
      </c>
      <c r="C28" s="18" t="str">
        <f>'Bank Data'!C15</f>
        <v>PSU</v>
      </c>
      <c r="D28" s="19">
        <f>'Bank Data'!S15</f>
        <v>0.16891891891891891</v>
      </c>
      <c r="E28" s="40">
        <f t="shared" si="0"/>
        <v>0.14424999999999999</v>
      </c>
      <c r="F28" s="30">
        <f t="shared" si="1"/>
        <v>0.05</v>
      </c>
      <c r="G28" s="41">
        <f t="shared" si="2"/>
        <v>1.2617391927736756</v>
      </c>
      <c r="H28" s="42">
        <f>'Bank Data'!Q15</f>
        <v>1</v>
      </c>
      <c r="I28" s="31">
        <f t="shared" si="3"/>
        <v>0.26173919277367563</v>
      </c>
      <c r="J28" s="11" t="str">
        <f t="shared" si="4"/>
        <v>BUY</v>
      </c>
    </row>
    <row r="29" spans="2:10" x14ac:dyDescent="0.3">
      <c r="B29" s="11" t="s">
        <v>135</v>
      </c>
      <c r="C29" s="18" t="str">
        <f>'Bank Data'!C16</f>
        <v>PSU</v>
      </c>
      <c r="D29" s="19">
        <f>'Bank Data'!S16</f>
        <v>0.14492753623188406</v>
      </c>
      <c r="E29" s="40">
        <f t="shared" si="0"/>
        <v>0.14424999999999999</v>
      </c>
      <c r="F29" s="30">
        <f t="shared" si="1"/>
        <v>0.05</v>
      </c>
      <c r="G29" s="41">
        <f t="shared" si="2"/>
        <v>1.0071887133356401</v>
      </c>
      <c r="H29" s="42">
        <f>'Bank Data'!Q16</f>
        <v>1</v>
      </c>
      <c r="I29" s="31">
        <f t="shared" si="3"/>
        <v>7.1887133356400845E-3</v>
      </c>
      <c r="J29" s="11" t="str">
        <f t="shared" si="4"/>
        <v>HOLD</v>
      </c>
    </row>
    <row r="30" spans="2:10" x14ac:dyDescent="0.3">
      <c r="B30" s="11" t="s">
        <v>136</v>
      </c>
      <c r="C30" s="18" t="str">
        <f>'Bank Data'!C17</f>
        <v>PSU</v>
      </c>
      <c r="D30" s="19" t="str">
        <f>'Bank Data'!S17</f>
        <v>N/A</v>
      </c>
      <c r="E30" s="40">
        <f t="shared" si="0"/>
        <v>0.14424999999999999</v>
      </c>
      <c r="F30" s="30">
        <f t="shared" si="1"/>
        <v>0.05</v>
      </c>
      <c r="G30" s="41" t="str">
        <f t="shared" si="2"/>
        <v>n.a.</v>
      </c>
      <c r="H30" s="42" t="str">
        <f>'Bank Data'!Q17</f>
        <v>N/A</v>
      </c>
      <c r="I30" s="31" t="str">
        <f t="shared" si="3"/>
        <v>n.a.</v>
      </c>
      <c r="J30" s="11" t="str">
        <f t="shared" si="4"/>
        <v>Insufficient data</v>
      </c>
    </row>
    <row r="31" spans="2:10" x14ac:dyDescent="0.3">
      <c r="B31" s="11" t="s">
        <v>137</v>
      </c>
      <c r="C31" s="18" t="str">
        <f>'Bank Data'!C18</f>
        <v>PSU</v>
      </c>
      <c r="D31" s="19" t="str">
        <f>'Bank Data'!S18</f>
        <v>N/A</v>
      </c>
      <c r="E31" s="40">
        <f t="shared" si="0"/>
        <v>0.14424999999999999</v>
      </c>
      <c r="F31" s="30">
        <f t="shared" si="1"/>
        <v>0.05</v>
      </c>
      <c r="G31" s="41" t="str">
        <f t="shared" si="2"/>
        <v>n.a.</v>
      </c>
      <c r="H31" s="42" t="str">
        <f>'Bank Data'!Q18</f>
        <v>N/A</v>
      </c>
      <c r="I31" s="31" t="str">
        <f t="shared" si="3"/>
        <v>n.a.</v>
      </c>
      <c r="J31" s="11" t="str">
        <f t="shared" si="4"/>
        <v>Insufficient data</v>
      </c>
    </row>
    <row r="32" spans="2:10" x14ac:dyDescent="0.3">
      <c r="B32" s="11" t="s">
        <v>138</v>
      </c>
      <c r="C32" s="18" t="str">
        <f>'Bank Data'!C19</f>
        <v>PSU</v>
      </c>
      <c r="D32" s="19" t="str">
        <f>'Bank Data'!S19</f>
        <v>N/A</v>
      </c>
      <c r="E32" s="40">
        <f t="shared" si="0"/>
        <v>0.14424999999999999</v>
      </c>
      <c r="F32" s="30">
        <f t="shared" si="1"/>
        <v>0.05</v>
      </c>
      <c r="G32" s="41" t="str">
        <f t="shared" si="2"/>
        <v>n.a.</v>
      </c>
      <c r="H32" s="42" t="str">
        <f>'Bank Data'!Q19</f>
        <v>N/A</v>
      </c>
      <c r="I32" s="31" t="str">
        <f t="shared" si="3"/>
        <v>n.a.</v>
      </c>
      <c r="J32" s="11" t="str">
        <f t="shared" si="4"/>
        <v>Insufficient data</v>
      </c>
    </row>
    <row r="34" spans="2:10" ht="37.35" customHeight="1" x14ac:dyDescent="0.3">
      <c r="B34" s="6" t="s">
        <v>159</v>
      </c>
      <c r="C34" s="6"/>
      <c r="D34" s="6"/>
      <c r="E34" s="6"/>
      <c r="F34" s="6"/>
      <c r="G34" s="6"/>
      <c r="H34" s="6"/>
      <c r="I34" s="6"/>
      <c r="J34" s="6"/>
    </row>
  </sheetData>
  <mergeCells count="3">
    <mergeCell ref="B2:J2"/>
    <mergeCell ref="B14:J14"/>
    <mergeCell ref="B34:J34"/>
  </mergeCells>
  <conditionalFormatting sqref="J18:J32">
    <cfRule type="cellIs" dxfId="3" priority="2" operator="equal">
      <formula>"BUY"</formula>
    </cfRule>
    <cfRule type="cellIs" dxfId="2" priority="3" operator="equal">
      <formula>"SELL"</formula>
    </cfRule>
    <cfRule type="cellIs" dxfId="1" priority="4" operator="equal">
      <formula>"HOLD"</formula>
    </cfRule>
    <cfRule type="cellIs" dxfId="0" priority="5" operator="equal">
      <formula>"Insufficient data"</formula>
    </cfRule>
  </conditionalFormatting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D174D"/>
    <pageSetUpPr fitToPage="1"/>
  </sheetPr>
  <dimension ref="B2:F3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13" sqref="J13"/>
    </sheetView>
  </sheetViews>
  <sheetFormatPr defaultColWidth="8.6640625" defaultRowHeight="14.4" x14ac:dyDescent="0.3"/>
  <cols>
    <col min="1" max="1" width="3" customWidth="1"/>
    <col min="2" max="2" width="34.33203125" customWidth="1"/>
    <col min="3" max="3" width="16" customWidth="1"/>
    <col min="4" max="4" width="14" customWidth="1"/>
    <col min="5" max="5" width="16" customWidth="1"/>
    <col min="6" max="6" width="44" customWidth="1"/>
    <col min="7" max="7" width="3" customWidth="1"/>
  </cols>
  <sheetData>
    <row r="2" spans="2:6" ht="16.8" x14ac:dyDescent="0.3">
      <c r="B2" s="4" t="s">
        <v>160</v>
      </c>
      <c r="C2" s="4"/>
      <c r="D2" s="4"/>
      <c r="E2" s="4"/>
      <c r="F2" s="4"/>
    </row>
    <row r="4" spans="2:6" ht="40.799999999999997" customHeight="1" x14ac:dyDescent="0.3">
      <c r="B4" s="6" t="s">
        <v>161</v>
      </c>
      <c r="C4" s="6"/>
      <c r="D4" s="6"/>
      <c r="E4" s="6"/>
      <c r="F4" s="6"/>
    </row>
    <row r="6" spans="2:6" ht="19.5" customHeight="1" x14ac:dyDescent="0.3">
      <c r="B6" s="34" t="s">
        <v>120</v>
      </c>
      <c r="C6" s="35"/>
      <c r="D6" s="35"/>
      <c r="E6" s="35"/>
      <c r="F6" s="35"/>
    </row>
    <row r="7" spans="2:6" x14ac:dyDescent="0.3">
      <c r="B7" s="16" t="s">
        <v>162</v>
      </c>
      <c r="C7" s="16" t="s">
        <v>163</v>
      </c>
      <c r="D7" s="16" t="s">
        <v>164</v>
      </c>
      <c r="E7" s="16" t="s">
        <v>165</v>
      </c>
      <c r="F7" s="16" t="s">
        <v>166</v>
      </c>
    </row>
    <row r="8" spans="2:6" ht="27" x14ac:dyDescent="0.3">
      <c r="B8" s="20" t="s">
        <v>167</v>
      </c>
      <c r="C8" s="25">
        <v>118000</v>
      </c>
      <c r="D8" s="26">
        <v>0.5</v>
      </c>
      <c r="E8" s="43">
        <f>IFERROR(C8*D8,"N/A")</f>
        <v>59000</v>
      </c>
      <c r="F8" s="15" t="s">
        <v>168</v>
      </c>
    </row>
    <row r="9" spans="2:6" ht="40.200000000000003" x14ac:dyDescent="0.3">
      <c r="B9" s="20" t="s">
        <v>169</v>
      </c>
      <c r="C9" s="28" t="s">
        <v>122</v>
      </c>
      <c r="D9" s="28" t="s">
        <v>122</v>
      </c>
      <c r="E9" s="44" t="str">
        <f>IFERROR(C9*D9,"N/A")</f>
        <v>N/A</v>
      </c>
      <c r="F9" s="15" t="s">
        <v>170</v>
      </c>
    </row>
    <row r="10" spans="2:6" x14ac:dyDescent="0.3">
      <c r="B10" s="11" t="s">
        <v>171</v>
      </c>
      <c r="E10" s="45">
        <f>SUM(E8:E9)</f>
        <v>59000</v>
      </c>
    </row>
    <row r="11" spans="2:6" x14ac:dyDescent="0.3">
      <c r="B11" s="20" t="s">
        <v>172</v>
      </c>
      <c r="C11" s="46">
        <f>'Bank Data'!O5</f>
        <v>1084100</v>
      </c>
    </row>
    <row r="12" spans="2:6" x14ac:dyDescent="0.3">
      <c r="B12" s="11" t="s">
        <v>173</v>
      </c>
      <c r="C12" s="31">
        <f>E10/C11</f>
        <v>5.4423023706300158E-2</v>
      </c>
    </row>
    <row r="14" spans="2:6" ht="19.5" customHeight="1" x14ac:dyDescent="0.3">
      <c r="B14" s="34" t="s">
        <v>123</v>
      </c>
      <c r="C14" s="35"/>
      <c r="D14" s="35"/>
      <c r="E14" s="35"/>
      <c r="F14" s="35"/>
    </row>
    <row r="15" spans="2:6" x14ac:dyDescent="0.3">
      <c r="B15" s="16" t="s">
        <v>162</v>
      </c>
      <c r="C15" s="16" t="s">
        <v>163</v>
      </c>
      <c r="D15" s="16" t="s">
        <v>164</v>
      </c>
      <c r="E15" s="16" t="s">
        <v>165</v>
      </c>
      <c r="F15" s="16" t="s">
        <v>166</v>
      </c>
    </row>
    <row r="16" spans="2:6" ht="40.200000000000003" x14ac:dyDescent="0.3">
      <c r="B16" s="20" t="s">
        <v>174</v>
      </c>
      <c r="C16" s="25">
        <v>75000</v>
      </c>
      <c r="D16" s="26">
        <v>0.51400000000000001</v>
      </c>
      <c r="E16" s="43">
        <f>IFERROR(C16*D16,"N/A")</f>
        <v>38550</v>
      </c>
      <c r="F16" s="15" t="s">
        <v>175</v>
      </c>
    </row>
    <row r="17" spans="2:6" ht="40.200000000000003" x14ac:dyDescent="0.3">
      <c r="B17" s="20" t="s">
        <v>176</v>
      </c>
      <c r="C17" s="25">
        <v>83000</v>
      </c>
      <c r="D17" s="26">
        <v>0.48099999999999998</v>
      </c>
      <c r="E17" s="43">
        <f>IFERROR(C17*D17,"N/A")</f>
        <v>39923</v>
      </c>
      <c r="F17" s="15" t="s">
        <v>177</v>
      </c>
    </row>
    <row r="18" spans="2:6" x14ac:dyDescent="0.3">
      <c r="B18" s="11" t="s">
        <v>171</v>
      </c>
      <c r="E18" s="45">
        <f>SUM(E16:E17)</f>
        <v>78473</v>
      </c>
    </row>
    <row r="19" spans="2:6" x14ac:dyDescent="0.3">
      <c r="B19" s="20" t="s">
        <v>178</v>
      </c>
      <c r="C19" s="46">
        <f>'Bank Data'!O6</f>
        <v>1024000</v>
      </c>
    </row>
    <row r="20" spans="2:6" x14ac:dyDescent="0.3">
      <c r="B20" s="11" t="s">
        <v>173</v>
      </c>
      <c r="C20" s="31">
        <f>E18/C19</f>
        <v>7.6633789062499999E-2</v>
      </c>
    </row>
    <row r="22" spans="2:6" ht="19.5" customHeight="1" x14ac:dyDescent="0.3">
      <c r="B22" s="34" t="s">
        <v>130</v>
      </c>
      <c r="C22" s="35"/>
      <c r="D22" s="35"/>
      <c r="E22" s="35"/>
      <c r="F22" s="35"/>
    </row>
    <row r="23" spans="2:6" x14ac:dyDescent="0.3">
      <c r="B23" s="16" t="s">
        <v>162</v>
      </c>
      <c r="C23" s="16" t="s">
        <v>163</v>
      </c>
      <c r="D23" s="16" t="s">
        <v>164</v>
      </c>
      <c r="E23" s="16" t="s">
        <v>165</v>
      </c>
      <c r="F23" s="16" t="s">
        <v>166</v>
      </c>
    </row>
    <row r="24" spans="2:6" ht="40.200000000000003" x14ac:dyDescent="0.3">
      <c r="B24" s="20" t="s">
        <v>179</v>
      </c>
      <c r="C24" s="25">
        <v>188000</v>
      </c>
      <c r="D24" s="26">
        <v>0.55400000000000005</v>
      </c>
      <c r="E24" s="43">
        <f>IFERROR(C24*D24,"N/A")</f>
        <v>104152.00000000001</v>
      </c>
      <c r="F24" s="15" t="s">
        <v>180</v>
      </c>
    </row>
    <row r="25" spans="2:6" ht="27" x14ac:dyDescent="0.3">
      <c r="B25" s="20" t="s">
        <v>181</v>
      </c>
      <c r="C25" s="25">
        <v>59000</v>
      </c>
      <c r="D25" s="26">
        <v>0.68600000000000005</v>
      </c>
      <c r="E25" s="43">
        <f>IFERROR(C25*D25,"N/A")</f>
        <v>40474</v>
      </c>
      <c r="F25" s="15" t="s">
        <v>182</v>
      </c>
    </row>
    <row r="26" spans="2:6" ht="53.4" x14ac:dyDescent="0.3">
      <c r="B26" s="20" t="s">
        <v>183</v>
      </c>
      <c r="C26" s="28" t="s">
        <v>122</v>
      </c>
      <c r="D26" s="28" t="s">
        <v>122</v>
      </c>
      <c r="E26" s="44" t="str">
        <f>IFERROR(C26*D26,"N/A")</f>
        <v>N/A</v>
      </c>
      <c r="F26" s="15" t="s">
        <v>184</v>
      </c>
    </row>
    <row r="27" spans="2:6" x14ac:dyDescent="0.3">
      <c r="B27" s="11" t="s">
        <v>171</v>
      </c>
      <c r="E27" s="45">
        <f>SUM(E24:E26)</f>
        <v>144626</v>
      </c>
    </row>
    <row r="28" spans="2:6" x14ac:dyDescent="0.3">
      <c r="B28" s="20" t="s">
        <v>185</v>
      </c>
      <c r="C28" s="46">
        <f>'Bank Data'!O12</f>
        <v>947500</v>
      </c>
    </row>
    <row r="29" spans="2:6" x14ac:dyDescent="0.3">
      <c r="B29" s="11" t="s">
        <v>173</v>
      </c>
      <c r="C29" s="31">
        <f>E27/C28</f>
        <v>0.15263957783641161</v>
      </c>
    </row>
    <row r="31" spans="2:6" ht="43.2" customHeight="1" x14ac:dyDescent="0.3">
      <c r="B31" s="6" t="s">
        <v>186</v>
      </c>
      <c r="C31" s="6"/>
      <c r="D31" s="6"/>
      <c r="E31" s="6"/>
      <c r="F31" s="6"/>
    </row>
  </sheetData>
  <mergeCells count="3">
    <mergeCell ref="B2:F2"/>
    <mergeCell ref="B4:F4"/>
    <mergeCell ref="B31:F3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A6D1F"/>
    <pageSetUpPr fitToPage="1"/>
  </sheetPr>
  <dimension ref="B2:D31"/>
  <sheetViews>
    <sheetView showGridLines="0" tabSelected="1" zoomScaleNormal="10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Q17" sqref="Q17"/>
    </sheetView>
  </sheetViews>
  <sheetFormatPr defaultColWidth="8.6640625" defaultRowHeight="14.4" x14ac:dyDescent="0.3"/>
  <cols>
    <col min="1" max="1" width="3" customWidth="1"/>
    <col min="2" max="2" width="32" customWidth="1"/>
    <col min="3" max="5" width="14" customWidth="1"/>
    <col min="6" max="6" width="3" customWidth="1"/>
  </cols>
  <sheetData>
    <row r="2" spans="2:4" ht="17.399999999999999" x14ac:dyDescent="0.3">
      <c r="B2" s="5" t="s">
        <v>187</v>
      </c>
      <c r="C2" s="5"/>
      <c r="D2" s="5"/>
    </row>
    <row r="4" spans="2:4" ht="19.5" customHeight="1" x14ac:dyDescent="0.3">
      <c r="B4" s="13" t="s">
        <v>188</v>
      </c>
      <c r="C4" s="14"/>
      <c r="D4" s="14"/>
    </row>
    <row r="5" spans="2:4" x14ac:dyDescent="0.3">
      <c r="B5" s="16" t="s">
        <v>189</v>
      </c>
      <c r="C5" s="16" t="s">
        <v>190</v>
      </c>
      <c r="D5" s="16" t="s">
        <v>191</v>
      </c>
    </row>
    <row r="6" spans="2:4" x14ac:dyDescent="0.3">
      <c r="B6" s="20" t="s">
        <v>192</v>
      </c>
      <c r="C6" s="19">
        <f>AVERAGEIF('Bank Data'!$C$5:$C$19,"Private",'Bank Data'!$G$5:$G$19)</f>
        <v>0.42471428571428571</v>
      </c>
      <c r="D6" s="19">
        <f>AVERAGEIF('Bank Data'!$C$5:$C$19,"PSU",'Bank Data'!$G$5:$G$19)</f>
        <v>0.29691250000000002</v>
      </c>
    </row>
    <row r="7" spans="2:4" x14ac:dyDescent="0.3">
      <c r="B7" s="47" t="s">
        <v>193</v>
      </c>
    </row>
    <row r="8" spans="2:4" x14ac:dyDescent="0.3">
      <c r="B8" s="20" t="s">
        <v>194</v>
      </c>
      <c r="C8" s="48">
        <f>AVERAGEIF('Bank Data'!$C$5:$C$19,"Private",'Bank Data'!$H$5:$H$19)</f>
        <v>4.1880000000000007E-2</v>
      </c>
      <c r="D8" s="48">
        <f>AVERAGEIF('Bank Data'!$C$5:$C$19,"PSU",'Bank Data'!$H$5:$H$19)</f>
        <v>2.8585714285714287E-2</v>
      </c>
    </row>
    <row r="9" spans="2:4" x14ac:dyDescent="0.3">
      <c r="B9" s="20" t="s">
        <v>195</v>
      </c>
      <c r="C9" s="48">
        <f>AVERAGEIF('Bank Data'!$C$5:$C$19,"Private",'Bank Data'!$I$5:$I$19)</f>
        <v>1.7333333333333336E-2</v>
      </c>
      <c r="D9" s="48">
        <f>AVERAGEIF('Bank Data'!$C$5:$C$19,"PSU",'Bank Data'!$I$5:$I$19)</f>
        <v>2.1383333333333327E-2</v>
      </c>
    </row>
    <row r="10" spans="2:4" x14ac:dyDescent="0.3">
      <c r="B10" s="20" t="s">
        <v>196</v>
      </c>
      <c r="C10" s="48">
        <f>AVERAGEIF('Bank Data'!$C$5:$C$19,"Private",'Bank Data'!$J$5:$J$19)</f>
        <v>3.5400000000000002E-3</v>
      </c>
      <c r="D10" s="48">
        <f>AVERAGEIF('Bank Data'!$C$5:$C$19,"PSU",'Bank Data'!$J$5:$J$19)</f>
        <v>3.3833333333333332E-3</v>
      </c>
    </row>
    <row r="11" spans="2:4" x14ac:dyDescent="0.3">
      <c r="B11" s="20" t="s">
        <v>197</v>
      </c>
      <c r="C11" s="42">
        <f>AVERAGEIF('Bank Data'!$C$5:$C$19,"Private",'Bank Data'!$P$5:$P$19)</f>
        <v>19.204999999999998</v>
      </c>
      <c r="D11" s="42">
        <f>AVERAGEIF('Bank Data'!$C$5:$C$19,"PSU",'Bank Data'!$P$5:$P$19)</f>
        <v>8.875</v>
      </c>
    </row>
    <row r="12" spans="2:4" x14ac:dyDescent="0.3">
      <c r="B12" s="20" t="s">
        <v>198</v>
      </c>
      <c r="C12" s="42">
        <f>AVERAGEIF('Bank Data'!$C$5:$C$19,"Private",'Bank Data'!$Q$5:$Q$19)</f>
        <v>1.7419999999999998</v>
      </c>
      <c r="D12" s="42">
        <f>AVERAGEIF('Bank Data'!$C$5:$C$19,"PSU",'Bank Data'!$Q$5:$Q$19)</f>
        <v>0.94</v>
      </c>
    </row>
    <row r="13" spans="2:4" x14ac:dyDescent="0.3">
      <c r="B13" s="20" t="s">
        <v>199</v>
      </c>
      <c r="C13" s="19">
        <f>AVERAGEIF('Bank Data'!$C$5:$C$19,"Private",'Bank Data'!$S$5:$S$19)</f>
        <v>0.12982381801855469</v>
      </c>
      <c r="D13" s="19">
        <f>AVERAGEIF('Bank Data'!$C$5:$C$19,"PSU",'Bank Data'!$S$5:$S$19)</f>
        <v>0.16023661378770074</v>
      </c>
    </row>
    <row r="15" spans="2:4" x14ac:dyDescent="0.3">
      <c r="B15" s="11" t="s">
        <v>200</v>
      </c>
      <c r="C15" s="3">
        <f>C12/D12-1</f>
        <v>0.85319148936170208</v>
      </c>
      <c r="D15" s="3"/>
    </row>
    <row r="17" spans="2:4" ht="84.75" customHeight="1" x14ac:dyDescent="0.3">
      <c r="B17" s="6" t="s">
        <v>201</v>
      </c>
      <c r="C17" s="6"/>
      <c r="D17" s="6"/>
    </row>
    <row r="19" spans="2:4" ht="19.5" customHeight="1" x14ac:dyDescent="0.3">
      <c r="B19" s="13" t="s">
        <v>202</v>
      </c>
      <c r="C19" s="14"/>
      <c r="D19" s="14"/>
    </row>
    <row r="20" spans="2:4" x14ac:dyDescent="0.3">
      <c r="B20" s="11" t="s">
        <v>203</v>
      </c>
      <c r="C20" s="2">
        <f>(D9-C9)*100</f>
        <v>0.40499999999999914</v>
      </c>
      <c r="D20" s="2"/>
    </row>
    <row r="21" spans="2:4" x14ac:dyDescent="0.3">
      <c r="B21" s="11" t="s">
        <v>204</v>
      </c>
      <c r="C21" s="2">
        <f>(D10-C10)*100</f>
        <v>-1.5666666666666693E-2</v>
      </c>
      <c r="D21" s="2"/>
    </row>
    <row r="22" spans="2:4" x14ac:dyDescent="0.3">
      <c r="B22" s="11" t="s">
        <v>205</v>
      </c>
      <c r="C22" s="2">
        <f>(C13-D13)*100</f>
        <v>-3.0412795769146044</v>
      </c>
      <c r="D22" s="2"/>
    </row>
    <row r="23" spans="2:4" x14ac:dyDescent="0.3">
      <c r="B23" s="11" t="s">
        <v>206</v>
      </c>
      <c r="C23" s="1">
        <f>C12-D12</f>
        <v>0.80199999999999982</v>
      </c>
      <c r="D23" s="1"/>
    </row>
    <row r="25" spans="2:4" ht="19.5" customHeight="1" x14ac:dyDescent="0.3">
      <c r="B25" s="13" t="s">
        <v>207</v>
      </c>
      <c r="C25" s="14"/>
      <c r="D25" s="14"/>
    </row>
    <row r="26" spans="2:4" x14ac:dyDescent="0.3">
      <c r="B26" s="20" t="s">
        <v>208</v>
      </c>
      <c r="C26" s="49">
        <f>COUNTIF('Valuation Engine'!$J$18:$J$32,"BUY")</f>
        <v>3</v>
      </c>
    </row>
    <row r="27" spans="2:4" x14ac:dyDescent="0.3">
      <c r="B27" s="20" t="s">
        <v>209</v>
      </c>
      <c r="C27" s="50">
        <f>COUNTIF('Valuation Engine'!$J$18:$J$32,"HOLD")</f>
        <v>1</v>
      </c>
    </row>
    <row r="28" spans="2:4" x14ac:dyDescent="0.3">
      <c r="B28" s="20" t="s">
        <v>210</v>
      </c>
      <c r="C28" s="51">
        <f>COUNTIF('Valuation Engine'!$J$18:$J$32,"SELL")</f>
        <v>3</v>
      </c>
    </row>
    <row r="29" spans="2:4" x14ac:dyDescent="0.3">
      <c r="B29" s="20" t="s">
        <v>211</v>
      </c>
      <c r="C29" s="52">
        <f>COUNTIF('Valuation Engine'!$J$18:$J$32,"Insufficient data")</f>
        <v>8</v>
      </c>
    </row>
    <row r="31" spans="2:4" ht="46.2" customHeight="1" x14ac:dyDescent="0.3">
      <c r="B31" s="6" t="s">
        <v>212</v>
      </c>
      <c r="C31" s="6"/>
      <c r="D31" s="6"/>
    </row>
  </sheetData>
  <mergeCells count="8">
    <mergeCell ref="C22:D22"/>
    <mergeCell ref="C23:D23"/>
    <mergeCell ref="B31:D31"/>
    <mergeCell ref="B2:D2"/>
    <mergeCell ref="C15:D15"/>
    <mergeCell ref="B17:D17"/>
    <mergeCell ref="C20:D20"/>
    <mergeCell ref="C21:D2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Industry Overview</vt:lpstr>
      <vt:lpstr>Consolidation &amp; Regulatory</vt:lpstr>
      <vt:lpstr>Bank Data</vt:lpstr>
      <vt:lpstr>Valuation Engine</vt:lpstr>
      <vt:lpstr>SOTP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Tiwari</cp:lastModifiedBy>
  <cp:revision>0</cp:revision>
  <dcterms:created xsi:type="dcterms:W3CDTF">2026-09-07T04:41:46Z</dcterms:created>
  <dcterms:modified xsi:type="dcterms:W3CDTF">2026-09-07T12:31:55Z</dcterms:modified>
  <dc:language>en-US</dc:language>
</cp:coreProperties>
</file>