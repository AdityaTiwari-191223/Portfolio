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istoricals" sheetId="2" state="visible" r:id="rId4"/>
    <sheet name="Forecast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Q4 FY25, Q1-Q3 FY26: Apple Form 8-K quarterly results press releases (SEC EDGAR)</t>
        </r>
      </text>
    </comment>
    <comment ref="A7" authorId="0">
      <text>
        <r>
          <rPr>
            <sz val="10"/>
            <rFont val="Arial"/>
            <family val="2"/>
          </rPr>
          <t xml:space="preserve">Q3 FY26's 50.1% gross margin included an approximate 2-percentage-point favorable impact from tariff refunds, per the company's own press release — not a repeatable run-rate. Q2's 49.3% is the cleaner underlying reference point.</t>
        </r>
      </text>
    </comment>
    <comment ref="A9" authorId="0">
      <text>
        <r>
          <rPr>
            <sz val="10"/>
            <rFont val="Arial"/>
            <family val="2"/>
          </rPr>
          <t xml:space="preserve">Q3 FY26's 29% EPS growth included a $0.11/share favorable tariff-refund impact, also per the company's own release — flagged here because it directly affects how Q4 should be modeled off this base.</t>
        </r>
      </text>
    </comment>
    <comment ref="A17" authorId="0">
      <text>
        <r>
          <rPr>
            <sz val="10"/>
            <rFont val="Arial"/>
            <family val="2"/>
          </rPr>
          <t xml:space="preserve">Friday, September 4, 2026 close (most recent trading session; markets closed over the weekend) — confirmed via Robinhood intraday data (session range $320.44-$328.93) and multiple outlets reporting AAPL fell ~2% Friday on Nikkei Asia reports that initial foldable iPhone production is limited to "a few hundred" units per day, ahead of Apple's September 9 "Surprise and Shine" event.</t>
        </r>
      </text>
    </comment>
    <comment ref="A18" authorId="0">
      <text>
        <r>
          <rPr>
            <sz val="10"/>
            <rFont val="Arial"/>
            <family val="2"/>
          </rPr>
          <t xml:space="preserve">Back-solved from TTM net income ($128.93bn) / TTM diluted EPS ($8.71), per Yahoo Finance — a reasonable proxy, not pulled directly from the share count disclosed in the most recent 10-Q.</t>
        </r>
      </text>
    </comment>
    <comment ref="A21" authorId="0">
      <text>
        <r>
          <rPr>
            <sz val="10"/>
            <rFont val="Arial"/>
            <family val="2"/>
          </rPr>
          <t xml:space="preserve">Chartmill.com, consensus revenue estimate for Apple's next reported quarter, snapshot dated early Jul 2026</t>
        </r>
      </text>
    </comment>
    <comment ref="A22" authorId="0">
      <text>
        <r>
          <rPr>
            <sz val="10"/>
            <rFont val="Arial"/>
            <family val="2"/>
          </rPr>
          <t xml:space="preserve">TipRanks shows $1.98 (range $1.91-$2.07); Chartmill shows $2.02. Midpoint of ~$2.01 used as the comparison point — genuine dispersion across providers, not a typo.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Apple's effective tax rate has run close to this level through FY2026; used consistently across the Q2/Q3 back-solve and the Q4 forecast for comparability</t>
        </r>
      </text>
    </comment>
    <comment ref="A14" authorId="0">
      <text>
        <r>
          <rPr>
            <sz val="10"/>
            <rFont val="Arial"/>
            <family val="2"/>
          </rPr>
          <t xml:space="preserve">Both quarters independently imply ~17.6% opex/revenue — tight agreement gives confidence this is a stable, usable ratio for the Q4 forecast rather than a one-off.</t>
        </r>
      </text>
    </comment>
    <comment ref="A18" authorId="0">
      <text>
        <r>
          <rPr>
            <sz val="10"/>
            <rFont val="Arial"/>
            <family val="2"/>
          </rPr>
          <t xml:space="preserve">Apple's own Q3 FY26 earnings call, July 30, 2026: management guided September-quarter total company revenue growth of 9-11% YoY, citing supply constraints across iPhone/Mac/iPad and a 2.5-point FX headwind. This is company guidance, not a third-party estimate — the strongest anchor available for this forecast.</t>
        </r>
      </text>
    </comment>
    <comment ref="A19" authorId="0">
      <text>
        <r>
          <rPr>
            <sz val="10"/>
            <rFont val="Arial"/>
            <family val="2"/>
          </rPr>
          <t xml:space="preserve">Same earnings call: gross margin guided to 47-48%, including an approximate 1-percentage-point continuing benefit from tariff refunds (down from ~2pts in Q3) — memory/component cost pressure (Tim Cook: a '100-year flood' in memory pricing) is the primary driver of the sequential decline from Q3's 50.1%.</t>
        </r>
      </text>
    </comment>
    <comment ref="A20" authorId="0">
      <text>
        <r>
          <rPr>
            <sz val="10"/>
            <rFont val="Arial"/>
            <family val="2"/>
          </rPr>
          <t xml:space="preserve">Same earnings call: opex guided as a dollar range, not a ratio — used directly here rather than the Step 1 calibrated percentage, since a precise management dollar figure is a stronger input than a back-solved ratio. As a cross-check: $19.1-19.4bn on ~$112-114bn of guided revenue implies an opex ratio of ~17.0%, close to the Step 1 calibration of 17.6%, an unforced agreement worth noting.</t>
        </r>
      </text>
    </comment>
    <comment ref="A22" authorId="0">
      <text>
        <r>
          <rPr>
            <sz val="10"/>
            <rFont val="Arial"/>
            <family val="2"/>
          </rPr>
          <t xml:space="preserve">Back-solved from Q3 FY26A: reported net income $29.79bn / reported diluted EPS $2.02 = 14.748bn shares — tied directly to the most recent actual reported quarter rather than a TTM approximation.</t>
        </r>
      </text>
    </comment>
    <comment ref="A35" authorId="0">
      <text>
        <r>
          <rPr>
            <sz val="10"/>
            <rFont val="Arial"/>
            <family val="2"/>
          </rPr>
          <t xml:space="preserve">Macroaxis.com, most current snapshot referenced for this report — consensus range $1.93-$2.07 across 44 analysts, already reset lower from the pre-guidance ~12%-growth consensus that existed before the July 30 earnings call.</t>
        </r>
      </text>
    </comment>
  </commentList>
</comments>
</file>

<file path=xl/sharedStrings.xml><?xml version="1.0" encoding="utf-8"?>
<sst xmlns="http://schemas.openxmlformats.org/spreadsheetml/2006/main" count="85" uniqueCount="76">
  <si>
    <t xml:space="preserve">APPLE INC. (NASDAQ: AAPL) — Q4 FY2026 EARNINGS FORECAST</t>
  </si>
  <si>
    <t xml:space="preserve">Earnings Forecast &amp; Target Price — Equity Research portfolio. Anchored on Apple's own July 30, 2026 guidance.</t>
  </si>
  <si>
    <t xml:space="preserve">Reporting date: October 29, 2026 (confirmed, after market close)</t>
  </si>
  <si>
    <t xml:space="preserve">Scenario</t>
  </si>
  <si>
    <t xml:space="preserve">Revenue</t>
  </si>
  <si>
    <t xml:space="preserve">EPS</t>
  </si>
  <si>
    <t xml:space="preserve">vs. Street ($1.98)</t>
  </si>
  <si>
    <t xml:space="preserve">Bear (low end of guide)</t>
  </si>
  <si>
    <t xml:space="preserve">Base (guidance midpoint)</t>
  </si>
  <si>
    <t xml:space="preserve">Bull (high end of guide)</t>
  </si>
  <si>
    <t xml:space="preserve">Target Price — Base Case</t>
  </si>
  <si>
    <t xml:space="preserve">Target Price — Bull Case</t>
  </si>
  <si>
    <t xml:space="preserve">Current Price</t>
  </si>
  <si>
    <t xml:space="preserve">Implied Upside — Base Case</t>
  </si>
  <si>
    <t xml:space="preserve">Key Context Since the Original Forecast</t>
  </si>
  <si>
    <t xml:space="preserve">This forecast was revised after discovering Apple's own official Q4 FY2026 guidance (given July 30, 2026): revenue growth of 9-11% YoY, gross margin 47-48%, opex $19.1-19.4bn. The original version of this model used a self-derived 12.5% growth assumption and a Street consensus figure that predated this guidance; anchoring on management's own stated range instead is a materially stronger basis. Separately, Tim Cook stepped down as CEO effective September 1, 2026, succeeded by John Ternus (a 25-year Apple veteran, former SVP of Hardware Engineering) — this was Cook's final earnings call as CEO. A redesigned Siri, reportedly using Google AI technology, is also launching within this quarter. Also relevant: Apple's own “Surprise and Shine” event is September 9, 2026 — the first major product event of the Ternus era, expected to unveil the foldable iPhone; AAPL fell ~2% on September 4 on reports that initial foldable production is limited to a few hundred units/day, a live illustration of the supply constraints already built into the guided range this forecast uses.</t>
  </si>
  <si>
    <t xml:space="preserve">APPLE INC. — QUARTERLY TREND, FY2026 (THROUGH Q3)</t>
  </si>
  <si>
    <t xml:space="preserve">$ in billions except per-share data. Fiscal year ends the last Saturday of September.</t>
  </si>
  <si>
    <t xml:space="preserve">Fiscal Quarter</t>
  </si>
  <si>
    <t xml:space="preserve">Q4 FY25A
(year-ago)</t>
  </si>
  <si>
    <t xml:space="preserve">Q1 FY26A</t>
  </si>
  <si>
    <t xml:space="preserve">Q2 FY26A</t>
  </si>
  <si>
    <t xml:space="preserve">Q3 FY26A</t>
  </si>
  <si>
    <t xml:space="preserve">Total Revenue</t>
  </si>
  <si>
    <t xml:space="preserve">Revenue Growth % YoY</t>
  </si>
  <si>
    <t xml:space="preserve">Gross Margin %</t>
  </si>
  <si>
    <t xml:space="preserve">n/a</t>
  </si>
  <si>
    <t xml:space="preserve">Diluted EPS</t>
  </si>
  <si>
    <t xml:space="preserve">EPS Growth % YoY</t>
  </si>
  <si>
    <t xml:space="preserve">Segment Detail (where disclosed)</t>
  </si>
  <si>
    <t xml:space="preserve">iPhone Revenue (Q2 FY26A)</t>
  </si>
  <si>
    <t xml:space="preserve">Services Revenue (Q2 FY26A)</t>
  </si>
  <si>
    <t xml:space="preserve">Services Growth % YoY (Q2 FY26A)</t>
  </si>
  <si>
    <t xml:space="preserve">Market Data (as of Aug 28-29, 2026)</t>
  </si>
  <si>
    <t xml:space="preserve">Share Price</t>
  </si>
  <si>
    <t xml:space="preserve">Diluted Shares Outstanding (bn, approx.)</t>
  </si>
  <si>
    <t xml:space="preserve">TTM Diluted EPS</t>
  </si>
  <si>
    <t xml:space="preserve">Current P/E (TTM)</t>
  </si>
  <si>
    <t xml:space="preserve">Street Consensus — Q4 FY26E Revenue</t>
  </si>
  <si>
    <t xml:space="preserve">Street Consensus — Q4 FY26E EPS</t>
  </si>
  <si>
    <t xml:space="preserve">Q4 FY2026 EARNINGS FORECAST — BUILT FROM ACTUAL Q2/Q3 COST STRUCTURE</t>
  </si>
  <si>
    <t xml:space="preserve">Reporting date: October 29, 2026 (confirmed, after market close). $ in billions except per-share data.</t>
  </si>
  <si>
    <t xml:space="preserve">Step 1: Calibrate the Operating Cost Structure from Real Actuals</t>
  </si>
  <si>
    <t xml:space="preserve">Tax Rate (effective)</t>
  </si>
  <si>
    <t xml:space="preserve">Q2 FY26A: Revenue / Net Income / GM% (inputs)</t>
  </si>
  <si>
    <t xml:space="preserve">  Q2 implied pre-tax margin</t>
  </si>
  <si>
    <t xml:space="preserve">  Q2 implied opex % of revenue</t>
  </si>
  <si>
    <t xml:space="preserve">Q3 FY26A: Revenue / EPS / GM% (inputs)</t>
  </si>
  <si>
    <t xml:space="preserve">  Q3 implied Net Income</t>
  </si>
  <si>
    <t xml:space="preserve">  Q3 implied pre-tax margin</t>
  </si>
  <si>
    <t xml:space="preserve">  Q3 implied opex % of revenue</t>
  </si>
  <si>
    <t xml:space="preserve">Calibrated Opex % of Revenue (avg. Q2/Q3)</t>
  </si>
  <si>
    <t xml:space="preserve">Step 2: Build the Q4 FY2026E Forecast — Anchored on Apple's Own Guidance</t>
  </si>
  <si>
    <t xml:space="preserve">Q4 FY2025A Revenue (base)</t>
  </si>
  <si>
    <t xml:space="preserve">Guided Revenue Growth Range (low / high)</t>
  </si>
  <si>
    <t xml:space="preserve">Guided Gross Margin Range (low / high)</t>
  </si>
  <si>
    <t xml:space="preserve">Guided Operating Expenses, $bn (low / high)</t>
  </si>
  <si>
    <t xml:space="preserve">Tax Rate</t>
  </si>
  <si>
    <t xml:space="preserve">Diluted Shares (bn)</t>
  </si>
  <si>
    <t xml:space="preserve">Bear / Base / Bull — Built From the Guided Range</t>
  </si>
  <si>
    <t xml:space="preserve">Bear
(9% / 47% / $19.4bn)</t>
  </si>
  <si>
    <t xml:space="preserve">Base
(10% / 47.5% / $19.25bn)</t>
  </si>
  <si>
    <t xml:space="preserve">Bull
(11% / 48% / $19.1bn)</t>
  </si>
  <si>
    <t xml:space="preserve">Revenue Growth Assumed</t>
  </si>
  <si>
    <t xml:space="preserve">Gross Margin Assumed</t>
  </si>
  <si>
    <t xml:space="preserve">Opex ($bn) Assumed</t>
  </si>
  <si>
    <t xml:space="preserve">Operating Income</t>
  </si>
  <si>
    <t xml:space="preserve">Net Income</t>
  </si>
  <si>
    <t xml:space="preserve">Step 3: Compare to Street Consensus and Set Target Price</t>
  </si>
  <si>
    <t xml:space="preserve">Street Consensus EPS (current, 44 analysts)</t>
  </si>
  <si>
    <t xml:space="preserve">My Base Case EPS vs. Street</t>
  </si>
  <si>
    <t xml:space="preserve">My Bull Case EPS vs. Street</t>
  </si>
  <si>
    <t xml:space="preserve">FY2026E EPS (Q1A+Q2A+Q3A+Q4E Base)</t>
  </si>
  <si>
    <t xml:space="preserve">FY2026E EPS (Q1A+Q2A+Q3A+Q4E Bull)</t>
  </si>
  <si>
    <t xml:space="preserve">Current Share Price</t>
  </si>
  <si>
    <t xml:space="preserve">Implied Upside — Bull Case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</si>
</sst>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\$#,##0.00;&quot;($&quot;#,##0.00\);\-"/>
    <numFmt numFmtId="167" formatCode="0.0%"/>
    <numFmt numFmtId="168" formatCode="0.00"/>
    <numFmt numFmtId="169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true" outlineLevel="0" collapsed="false">
      <c r="A6" s="5" t="s">
        <v>7</v>
      </c>
      <c r="B6" s="6" t="n">
        <f aca="false">'Forecast Model'!B27</f>
        <v>111.725</v>
      </c>
      <c r="C6" s="7" t="n">
        <f aca="false">'Forecast Model'!B32</f>
        <v>1.88562915254237</v>
      </c>
      <c r="D6" s="5"/>
    </row>
    <row r="7" customFormat="false" ht="15" hidden="false" customHeight="true" outlineLevel="0" collapsed="false">
      <c r="A7" s="5" t="s">
        <v>8</v>
      </c>
      <c r="B7" s="6" t="n">
        <f aca="false">'Forecast Model'!C27</f>
        <v>112.75</v>
      </c>
      <c r="C7" s="7" t="n">
        <f aca="false">'Forecast Model'!C32</f>
        <v>1.95371186440678</v>
      </c>
      <c r="D7" s="8" t="n">
        <f aca="false">C7/1.98-1</f>
        <v>-0.013276836158192</v>
      </c>
    </row>
    <row r="8" customFormat="false" ht="15" hidden="false" customHeight="true" outlineLevel="0" collapsed="false">
      <c r="A8" s="5" t="s">
        <v>9</v>
      </c>
      <c r="B8" s="6" t="n">
        <f aca="false">'Forecast Model'!D27</f>
        <v>113.775</v>
      </c>
      <c r="C8" s="7" t="n">
        <f aca="false">'Forecast Model'!D32</f>
        <v>2.02237830508475</v>
      </c>
      <c r="D8" s="8" t="n">
        <f aca="false">C8/1.98-1</f>
        <v>0.0214031843862352</v>
      </c>
    </row>
    <row r="9" customFormat="false" ht="15" hidden="false" customHeight="true" outlineLevel="0" collapsed="false">
      <c r="A9" s="5"/>
      <c r="B9" s="5"/>
      <c r="C9" s="5"/>
      <c r="D9" s="5"/>
    </row>
    <row r="10" customFormat="false" ht="15" hidden="false" customHeight="true" outlineLevel="0" collapsed="false">
      <c r="A10" s="9" t="s">
        <v>10</v>
      </c>
      <c r="B10" s="10" t="n">
        <f aca="false">'Forecast Model'!B42</f>
        <v>325.089453190371</v>
      </c>
      <c r="C10" s="5"/>
      <c r="D10" s="5"/>
    </row>
    <row r="11" customFormat="false" ht="15" hidden="false" customHeight="true" outlineLevel="0" collapsed="false">
      <c r="A11" s="11" t="s">
        <v>11</v>
      </c>
      <c r="B11" s="7" t="n">
        <f aca="false">'Forecast Model'!B43</f>
        <v>327.619310918679</v>
      </c>
      <c r="C11" s="5"/>
      <c r="D11" s="5"/>
    </row>
    <row r="12" customFormat="false" ht="15" hidden="false" customHeight="true" outlineLevel="0" collapsed="false">
      <c r="A12" s="11" t="s">
        <v>12</v>
      </c>
      <c r="B12" s="7" t="n">
        <f aca="false">'Forecast Model'!B44</f>
        <v>320.9</v>
      </c>
      <c r="C12" s="5"/>
      <c r="D12" s="5"/>
    </row>
    <row r="13" customFormat="false" ht="15" hidden="false" customHeight="true" outlineLevel="0" collapsed="false">
      <c r="A13" s="9" t="s">
        <v>13</v>
      </c>
      <c r="B13" s="12" t="n">
        <f aca="false">'Forecast Model'!B42/'Forecast Model'!B44-1</f>
        <v>0.0130553231236255</v>
      </c>
      <c r="C13" s="5"/>
      <c r="D13" s="5"/>
    </row>
    <row r="14" customFormat="false" ht="15" hidden="false" customHeight="true" outlineLevel="0" collapsed="false">
      <c r="A14" s="5"/>
      <c r="B14" s="5"/>
      <c r="C14" s="5"/>
      <c r="D14" s="5"/>
    </row>
    <row r="15" customFormat="false" ht="15" hidden="false" customHeight="true" outlineLevel="0" collapsed="false">
      <c r="A15" s="13" t="s">
        <v>14</v>
      </c>
    </row>
    <row r="16" customFormat="false" ht="15" hidden="false" customHeight="true" outlineLevel="0" collapsed="false">
      <c r="A16" s="14" t="s">
        <v>15</v>
      </c>
      <c r="B16" s="14"/>
      <c r="C16" s="14"/>
      <c r="D16" s="14"/>
      <c r="E16" s="14"/>
    </row>
    <row r="17" customFormat="false" ht="15" hidden="false" customHeight="true" outlineLevel="0" collapsed="false">
      <c r="A17" s="14"/>
      <c r="B17" s="14"/>
      <c r="C17" s="14"/>
      <c r="D17" s="14"/>
      <c r="E17" s="14"/>
    </row>
    <row r="18" customFormat="false" ht="15" hidden="false" customHeight="true" outlineLevel="0" collapsed="false">
      <c r="A18" s="14"/>
      <c r="B18" s="14"/>
      <c r="C18" s="14"/>
      <c r="D18" s="14"/>
      <c r="E18" s="14"/>
    </row>
    <row r="19" customFormat="false" ht="15" hidden="false" customHeight="true" outlineLevel="0" collapsed="false">
      <c r="A19" s="14"/>
      <c r="B19" s="14"/>
      <c r="C19" s="14"/>
      <c r="D19" s="14"/>
      <c r="E19" s="14"/>
    </row>
    <row r="20" customFormat="false" ht="15" hidden="false" customHeight="true" outlineLevel="0" collapsed="false">
      <c r="A20" s="14"/>
      <c r="B20" s="14"/>
      <c r="C20" s="14"/>
      <c r="D20" s="14"/>
      <c r="E20" s="14"/>
    </row>
    <row r="21" customFormat="false" ht="15" hidden="false" customHeight="true" outlineLevel="0" collapsed="false">
      <c r="A21" s="14"/>
      <c r="B21" s="14"/>
      <c r="C21" s="14"/>
      <c r="D21" s="14"/>
      <c r="E21" s="14"/>
    </row>
    <row r="22" customFormat="false" ht="15" hidden="false" customHeight="true" outlineLevel="0" collapsed="false">
      <c r="A22" s="14"/>
      <c r="B22" s="14"/>
      <c r="C22" s="14"/>
      <c r="D22" s="14"/>
      <c r="E22" s="14"/>
    </row>
    <row r="23" customFormat="false" ht="15" hidden="false" customHeight="true" outlineLevel="0" collapsed="false">
      <c r="A23" s="14"/>
      <c r="B23" s="14"/>
      <c r="C23" s="14"/>
      <c r="D23" s="14"/>
      <c r="E23" s="14"/>
    </row>
  </sheetData>
  <mergeCells count="2">
    <mergeCell ref="A1:E1"/>
    <mergeCell ref="A16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16</v>
      </c>
      <c r="B1" s="2"/>
      <c r="C1" s="2"/>
      <c r="D1" s="2"/>
      <c r="E1" s="2"/>
    </row>
    <row r="2" customFormat="false" ht="15" hidden="false" customHeight="true" outlineLevel="0" collapsed="false">
      <c r="A2" s="3" t="s">
        <v>17</v>
      </c>
    </row>
    <row r="4" customFormat="false" ht="27.75" hidden="false" customHeight="tru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</row>
    <row r="5" customFormat="false" ht="15" hidden="false" customHeight="true" outlineLevel="0" collapsed="false">
      <c r="A5" s="9" t="s">
        <v>23</v>
      </c>
      <c r="B5" s="15" t="n">
        <v>102.5</v>
      </c>
      <c r="C5" s="15" t="n">
        <v>143.8</v>
      </c>
      <c r="D5" s="15" t="n">
        <v>111.2</v>
      </c>
      <c r="E5" s="15" t="n">
        <v>109.4</v>
      </c>
    </row>
    <row r="6" customFormat="false" ht="15" hidden="false" customHeight="true" outlineLevel="0" collapsed="false">
      <c r="A6" s="11" t="s">
        <v>24</v>
      </c>
      <c r="B6" s="16" t="n">
        <v>0.08</v>
      </c>
      <c r="C6" s="16" t="n">
        <v>0.16</v>
      </c>
      <c r="D6" s="16" t="n">
        <v>0.17</v>
      </c>
      <c r="E6" s="16" t="n">
        <v>0.16</v>
      </c>
    </row>
    <row r="7" customFormat="false" ht="15" hidden="false" customHeight="true" outlineLevel="0" collapsed="false">
      <c r="A7" s="11" t="s">
        <v>25</v>
      </c>
      <c r="B7" s="5" t="s">
        <v>26</v>
      </c>
      <c r="C7" s="5" t="s">
        <v>26</v>
      </c>
      <c r="D7" s="16" t="n">
        <v>0.493</v>
      </c>
      <c r="E7" s="16" t="n">
        <v>0.501</v>
      </c>
    </row>
    <row r="8" customFormat="false" ht="15" hidden="false" customHeight="true" outlineLevel="0" collapsed="false">
      <c r="A8" s="9" t="s">
        <v>27</v>
      </c>
      <c r="B8" s="17" t="n">
        <v>1.85</v>
      </c>
      <c r="C8" s="17" t="n">
        <v>2.84</v>
      </c>
      <c r="D8" s="17" t="n">
        <v>2.01</v>
      </c>
      <c r="E8" s="17" t="n">
        <v>2.02</v>
      </c>
    </row>
    <row r="9" customFormat="false" ht="15" hidden="false" customHeight="true" outlineLevel="0" collapsed="false">
      <c r="A9" s="11" t="s">
        <v>28</v>
      </c>
      <c r="B9" s="5" t="s">
        <v>26</v>
      </c>
      <c r="C9" s="16" t="n">
        <v>0.19</v>
      </c>
      <c r="D9" s="16" t="n">
        <v>0.22</v>
      </c>
      <c r="E9" s="16" t="n">
        <v>0.29</v>
      </c>
    </row>
    <row r="10" customFormat="false" ht="15" hidden="false" customHeight="true" outlineLevel="0" collapsed="false">
      <c r="A10" s="5"/>
      <c r="B10" s="5"/>
      <c r="C10" s="5"/>
      <c r="D10" s="5"/>
      <c r="E10" s="5"/>
    </row>
    <row r="11" customFormat="false" ht="15" hidden="false" customHeight="true" outlineLevel="0" collapsed="false">
      <c r="A11" s="18" t="s">
        <v>29</v>
      </c>
      <c r="B11" s="19"/>
      <c r="C11" s="19"/>
      <c r="D11" s="19"/>
      <c r="E11" s="19"/>
    </row>
    <row r="12" customFormat="false" ht="15" hidden="false" customHeight="true" outlineLevel="0" collapsed="false">
      <c r="A12" s="11" t="s">
        <v>30</v>
      </c>
      <c r="B12" s="20" t="n">
        <v>57.99</v>
      </c>
      <c r="C12" s="5"/>
      <c r="D12" s="5"/>
      <c r="E12" s="5"/>
    </row>
    <row r="13" customFormat="false" ht="15" hidden="false" customHeight="true" outlineLevel="0" collapsed="false">
      <c r="A13" s="11" t="s">
        <v>31</v>
      </c>
      <c r="B13" s="20" t="n">
        <v>30.98</v>
      </c>
      <c r="C13" s="5"/>
      <c r="D13" s="5"/>
      <c r="E13" s="5"/>
    </row>
    <row r="14" customFormat="false" ht="15" hidden="false" customHeight="true" outlineLevel="0" collapsed="false">
      <c r="A14" s="11" t="s">
        <v>32</v>
      </c>
      <c r="B14" s="16" t="n">
        <v>0.163</v>
      </c>
      <c r="C14" s="5"/>
      <c r="D14" s="5"/>
      <c r="E14" s="5"/>
    </row>
    <row r="15" customFormat="false" ht="15" hidden="false" customHeight="true" outlineLevel="0" collapsed="false">
      <c r="A15" s="5"/>
      <c r="B15" s="5"/>
      <c r="C15" s="5"/>
      <c r="D15" s="5"/>
      <c r="E15" s="5"/>
    </row>
    <row r="16" customFormat="false" ht="15" hidden="false" customHeight="true" outlineLevel="0" collapsed="false">
      <c r="A16" s="18" t="s">
        <v>33</v>
      </c>
      <c r="B16" s="19"/>
      <c r="C16" s="19"/>
      <c r="D16" s="19"/>
      <c r="E16" s="19"/>
    </row>
    <row r="17" customFormat="false" ht="15" hidden="false" customHeight="true" outlineLevel="0" collapsed="false">
      <c r="A17" s="11" t="s">
        <v>34</v>
      </c>
      <c r="B17" s="21" t="n">
        <v>320.9</v>
      </c>
      <c r="C17" s="5"/>
      <c r="D17" s="5"/>
      <c r="E17" s="5"/>
    </row>
    <row r="18" customFormat="false" ht="15" hidden="false" customHeight="true" outlineLevel="0" collapsed="false">
      <c r="A18" s="11" t="s">
        <v>35</v>
      </c>
      <c r="B18" s="22" t="n">
        <v>14.8</v>
      </c>
      <c r="C18" s="5"/>
      <c r="D18" s="5"/>
      <c r="E18" s="5"/>
    </row>
    <row r="19" customFormat="false" ht="15" hidden="false" customHeight="true" outlineLevel="0" collapsed="false">
      <c r="A19" s="11" t="s">
        <v>36</v>
      </c>
      <c r="B19" s="21" t="n">
        <v>8.71</v>
      </c>
      <c r="C19" s="5"/>
      <c r="D19" s="5"/>
      <c r="E19" s="5"/>
    </row>
    <row r="20" customFormat="false" ht="15" hidden="false" customHeight="true" outlineLevel="0" collapsed="false">
      <c r="A20" s="9" t="s">
        <v>37</v>
      </c>
      <c r="B20" s="23" t="n">
        <f aca="false">B17/B19</f>
        <v>36.8427095292767</v>
      </c>
      <c r="C20" s="5"/>
      <c r="D20" s="5"/>
      <c r="E20" s="5"/>
    </row>
    <row r="21" customFormat="false" ht="15" hidden="false" customHeight="true" outlineLevel="0" collapsed="false">
      <c r="A21" s="11" t="s">
        <v>38</v>
      </c>
      <c r="B21" s="20" t="n">
        <v>115.06</v>
      </c>
      <c r="C21" s="5"/>
      <c r="D21" s="5"/>
      <c r="E21" s="5"/>
    </row>
    <row r="22" customFormat="false" ht="15" hidden="false" customHeight="true" outlineLevel="0" collapsed="false">
      <c r="A22" s="11" t="s">
        <v>39</v>
      </c>
      <c r="B22" s="21" t="n">
        <v>2.01</v>
      </c>
      <c r="C22" s="5"/>
      <c r="D22" s="5"/>
      <c r="E22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4"/>
  </cols>
  <sheetData>
    <row r="1" customFormat="false" ht="17.25" hidden="false" customHeight="true" outlineLevel="0" collapsed="false">
      <c r="A1" s="2" t="s">
        <v>40</v>
      </c>
      <c r="B1" s="2"/>
      <c r="C1" s="2"/>
      <c r="D1" s="2"/>
    </row>
    <row r="2" customFormat="false" ht="15" hidden="false" customHeight="true" outlineLevel="0" collapsed="false">
      <c r="A2" s="3" t="s">
        <v>41</v>
      </c>
    </row>
    <row r="4" customFormat="false" ht="15" hidden="false" customHeight="true" outlineLevel="0" collapsed="false">
      <c r="A4" s="18" t="s">
        <v>42</v>
      </c>
      <c r="B4" s="19"/>
      <c r="C4" s="19"/>
      <c r="D4" s="19"/>
    </row>
    <row r="5" customFormat="false" ht="15" hidden="false" customHeight="true" outlineLevel="0" collapsed="false">
      <c r="A5" s="11" t="s">
        <v>43</v>
      </c>
      <c r="B5" s="16" t="n">
        <v>0.16</v>
      </c>
      <c r="C5" s="5"/>
      <c r="D5" s="5"/>
    </row>
    <row r="6" customFormat="false" ht="15" hidden="false" customHeight="true" outlineLevel="0" collapsed="false">
      <c r="A6" s="11" t="s">
        <v>44</v>
      </c>
      <c r="B6" s="6" t="n">
        <f aca="false">Historicals!D5</f>
        <v>111.2</v>
      </c>
      <c r="C6" s="20" t="n">
        <v>29.6</v>
      </c>
      <c r="D6" s="24" t="n">
        <f aca="false">Historicals!D7</f>
        <v>0.493</v>
      </c>
    </row>
    <row r="7" customFormat="false" ht="15" hidden="false" customHeight="true" outlineLevel="0" collapsed="false">
      <c r="A7" s="11" t="s">
        <v>45</v>
      </c>
      <c r="B7" s="8" t="n">
        <f aca="false">(C6/(1-B5))/B6</f>
        <v>0.316889345666324</v>
      </c>
      <c r="C7" s="5"/>
      <c r="D7" s="5"/>
    </row>
    <row r="8" customFormat="false" ht="15" hidden="false" customHeight="true" outlineLevel="0" collapsed="false">
      <c r="A8" s="11" t="s">
        <v>46</v>
      </c>
      <c r="B8" s="8" t="n">
        <f aca="false">D6-B7</f>
        <v>0.176110654333676</v>
      </c>
      <c r="C8" s="5"/>
      <c r="D8" s="5"/>
    </row>
    <row r="9" customFormat="false" ht="15" hidden="false" customHeight="true" outlineLevel="0" collapsed="false">
      <c r="A9" s="5"/>
      <c r="B9" s="5"/>
      <c r="C9" s="5"/>
      <c r="D9" s="5"/>
    </row>
    <row r="10" customFormat="false" ht="15" hidden="false" customHeight="true" outlineLevel="0" collapsed="false">
      <c r="A10" s="11" t="s">
        <v>47</v>
      </c>
      <c r="B10" s="6" t="n">
        <f aca="false">Historicals!E5</f>
        <v>109.4</v>
      </c>
      <c r="C10" s="7" t="n">
        <f aca="false">Historicals!E8</f>
        <v>2.02</v>
      </c>
      <c r="D10" s="24" t="n">
        <f aca="false">Historicals!E7</f>
        <v>0.501</v>
      </c>
    </row>
    <row r="11" customFormat="false" ht="15" hidden="false" customHeight="true" outlineLevel="0" collapsed="false">
      <c r="A11" s="11" t="s">
        <v>48</v>
      </c>
      <c r="B11" s="25" t="n">
        <f aca="false">C10*Historicals!B18</f>
        <v>29.896</v>
      </c>
      <c r="C11" s="5"/>
      <c r="D11" s="5"/>
    </row>
    <row r="12" customFormat="false" ht="15" hidden="false" customHeight="true" outlineLevel="0" collapsed="false">
      <c r="A12" s="11" t="s">
        <v>49</v>
      </c>
      <c r="B12" s="8" t="n">
        <f aca="false">(B11/(1-B5))/B10</f>
        <v>0.325324279620441</v>
      </c>
      <c r="C12" s="5"/>
      <c r="D12" s="5"/>
    </row>
    <row r="13" customFormat="false" ht="15" hidden="false" customHeight="true" outlineLevel="0" collapsed="false">
      <c r="A13" s="11" t="s">
        <v>50</v>
      </c>
      <c r="B13" s="8" t="n">
        <f aca="false">D10-B12</f>
        <v>0.175675720379559</v>
      </c>
      <c r="C13" s="5"/>
      <c r="D13" s="5"/>
    </row>
    <row r="14" customFormat="false" ht="15" hidden="false" customHeight="true" outlineLevel="0" collapsed="false">
      <c r="A14" s="9" t="s">
        <v>51</v>
      </c>
      <c r="B14" s="12" t="n">
        <f aca="false">AVERAGE(B8,B13)</f>
        <v>0.175893187356618</v>
      </c>
      <c r="C14" s="5"/>
      <c r="D14" s="5"/>
    </row>
    <row r="15" customFormat="false" ht="15" hidden="false" customHeight="true" outlineLevel="0" collapsed="false">
      <c r="A15" s="5"/>
      <c r="B15" s="5"/>
      <c r="C15" s="5"/>
      <c r="D15" s="5"/>
    </row>
    <row r="16" customFormat="false" ht="15" hidden="false" customHeight="true" outlineLevel="0" collapsed="false">
      <c r="A16" s="18" t="s">
        <v>52</v>
      </c>
      <c r="B16" s="19"/>
      <c r="C16" s="19"/>
      <c r="D16" s="19"/>
    </row>
    <row r="17" customFormat="false" ht="15" hidden="false" customHeight="true" outlineLevel="0" collapsed="false">
      <c r="A17" s="11" t="s">
        <v>53</v>
      </c>
      <c r="B17" s="6" t="n">
        <f aca="false">Historicals!B5</f>
        <v>102.5</v>
      </c>
      <c r="C17" s="5"/>
      <c r="D17" s="5"/>
    </row>
    <row r="18" customFormat="false" ht="15" hidden="false" customHeight="true" outlineLevel="0" collapsed="false">
      <c r="A18" s="11" t="s">
        <v>54</v>
      </c>
      <c r="B18" s="16" t="n">
        <v>0.09</v>
      </c>
      <c r="C18" s="16" t="n">
        <v>0.11</v>
      </c>
      <c r="D18" s="5"/>
    </row>
    <row r="19" customFormat="false" ht="15" hidden="false" customHeight="true" outlineLevel="0" collapsed="false">
      <c r="A19" s="11" t="s">
        <v>55</v>
      </c>
      <c r="B19" s="16" t="n">
        <v>0.47</v>
      </c>
      <c r="C19" s="16" t="n">
        <v>0.48</v>
      </c>
      <c r="D19" s="5"/>
    </row>
    <row r="20" customFormat="false" ht="15" hidden="false" customHeight="true" outlineLevel="0" collapsed="false">
      <c r="A20" s="11" t="s">
        <v>56</v>
      </c>
      <c r="B20" s="21" t="n">
        <v>19.1</v>
      </c>
      <c r="C20" s="21" t="n">
        <v>19.4</v>
      </c>
      <c r="D20" s="5"/>
    </row>
    <row r="21" customFormat="false" ht="15" hidden="false" customHeight="true" outlineLevel="0" collapsed="false">
      <c r="A21" s="11" t="s">
        <v>57</v>
      </c>
      <c r="B21" s="16" t="n">
        <v>0.16</v>
      </c>
      <c r="C21" s="5"/>
      <c r="D21" s="5"/>
    </row>
    <row r="22" customFormat="false" ht="15" hidden="false" customHeight="true" outlineLevel="0" collapsed="false">
      <c r="A22" s="11" t="s">
        <v>58</v>
      </c>
      <c r="B22" s="22" t="n">
        <v>14.75</v>
      </c>
      <c r="C22" s="5"/>
      <c r="D22" s="5"/>
    </row>
    <row r="23" customFormat="false" ht="15" hidden="false" customHeight="true" outlineLevel="0" collapsed="false">
      <c r="A23" s="5"/>
      <c r="B23" s="5"/>
      <c r="C23" s="5"/>
      <c r="D23" s="5"/>
    </row>
    <row r="24" customFormat="false" ht="15" hidden="false" customHeight="true" outlineLevel="0" collapsed="false">
      <c r="A24" s="18" t="s">
        <v>59</v>
      </c>
      <c r="B24" s="19"/>
      <c r="C24" s="19"/>
      <c r="D24" s="19"/>
    </row>
    <row r="25" customFormat="false" ht="54.75" hidden="false" customHeight="true" outlineLevel="0" collapsed="false">
      <c r="A25" s="4" t="s">
        <v>3</v>
      </c>
      <c r="B25" s="4" t="s">
        <v>60</v>
      </c>
      <c r="C25" s="4" t="s">
        <v>61</v>
      </c>
      <c r="D25" s="4" t="s">
        <v>62</v>
      </c>
    </row>
    <row r="26" customFormat="false" ht="15" hidden="false" customHeight="true" outlineLevel="0" collapsed="false">
      <c r="A26" s="11" t="s">
        <v>63</v>
      </c>
      <c r="B26" s="8" t="n">
        <v>0.09</v>
      </c>
      <c r="C26" s="8" t="n">
        <v>0.1</v>
      </c>
      <c r="D26" s="8" t="n">
        <v>0.11</v>
      </c>
    </row>
    <row r="27" customFormat="false" ht="15" hidden="false" customHeight="true" outlineLevel="0" collapsed="false">
      <c r="A27" s="11" t="s">
        <v>4</v>
      </c>
      <c r="B27" s="26" t="n">
        <f aca="false">B17*(1+B26)</f>
        <v>111.725</v>
      </c>
      <c r="C27" s="26" t="n">
        <f aca="false">B17*(1+C26)</f>
        <v>112.75</v>
      </c>
      <c r="D27" s="26" t="n">
        <f aca="false">B17*(1+D26)</f>
        <v>113.775</v>
      </c>
    </row>
    <row r="28" customFormat="false" ht="15" hidden="false" customHeight="true" outlineLevel="0" collapsed="false">
      <c r="A28" s="11" t="s">
        <v>64</v>
      </c>
      <c r="B28" s="8" t="n">
        <v>0.47</v>
      </c>
      <c r="C28" s="8" t="n">
        <v>0.475</v>
      </c>
      <c r="D28" s="8" t="n">
        <v>0.48</v>
      </c>
    </row>
    <row r="29" customFormat="false" ht="15" hidden="false" customHeight="true" outlineLevel="0" collapsed="false">
      <c r="A29" s="11" t="s">
        <v>65</v>
      </c>
      <c r="B29" s="27" t="n">
        <v>19.4</v>
      </c>
      <c r="C29" s="27" t="n">
        <v>19.25</v>
      </c>
      <c r="D29" s="27" t="n">
        <v>19.1</v>
      </c>
    </row>
    <row r="30" customFormat="false" ht="15" hidden="false" customHeight="true" outlineLevel="0" collapsed="false">
      <c r="A30" s="11" t="s">
        <v>66</v>
      </c>
      <c r="B30" s="27" t="n">
        <f aca="false">B27*B28-B29</f>
        <v>33.11075</v>
      </c>
      <c r="C30" s="27" t="n">
        <f aca="false">C27*C28-C29</f>
        <v>34.30625</v>
      </c>
      <c r="D30" s="27" t="n">
        <f aca="false">D27*D28-D29</f>
        <v>35.512</v>
      </c>
    </row>
    <row r="31" customFormat="false" ht="15" hidden="false" customHeight="true" outlineLevel="0" collapsed="false">
      <c r="A31" s="11" t="s">
        <v>67</v>
      </c>
      <c r="B31" s="27" t="n">
        <f aca="false">B30*(1-$B$21)</f>
        <v>27.81303</v>
      </c>
      <c r="C31" s="27" t="n">
        <f aca="false">C30*(1-$B$21)</f>
        <v>28.81725</v>
      </c>
      <c r="D31" s="27" t="n">
        <f aca="false">D30*(1-$B$21)</f>
        <v>29.83008</v>
      </c>
    </row>
    <row r="32" customFormat="false" ht="15" hidden="false" customHeight="true" outlineLevel="0" collapsed="false">
      <c r="A32" s="9" t="s">
        <v>27</v>
      </c>
      <c r="B32" s="28" t="n">
        <f aca="false">B31/$B$22</f>
        <v>1.88562915254237</v>
      </c>
      <c r="C32" s="29" t="n">
        <f aca="false">C31/$B$22</f>
        <v>1.95371186440678</v>
      </c>
      <c r="D32" s="28" t="n">
        <f aca="false">D31/$B$22</f>
        <v>2.02237830508475</v>
      </c>
    </row>
    <row r="33" customFormat="false" ht="15" hidden="false" customHeight="true" outlineLevel="0" collapsed="false">
      <c r="A33" s="5"/>
      <c r="B33" s="5"/>
      <c r="C33" s="5"/>
      <c r="D33" s="5"/>
    </row>
    <row r="34" customFormat="false" ht="15" hidden="false" customHeight="true" outlineLevel="0" collapsed="false">
      <c r="A34" s="18" t="s">
        <v>68</v>
      </c>
      <c r="B34" s="19"/>
      <c r="C34" s="19"/>
      <c r="D34" s="19"/>
    </row>
    <row r="35" customFormat="false" ht="15" hidden="false" customHeight="true" outlineLevel="0" collapsed="false">
      <c r="A35" s="11" t="s">
        <v>69</v>
      </c>
      <c r="B35" s="21" t="n">
        <v>1.98</v>
      </c>
      <c r="C35" s="5"/>
      <c r="D35" s="5"/>
    </row>
    <row r="36" customFormat="false" ht="15" hidden="false" customHeight="true" outlineLevel="0" collapsed="false">
      <c r="A36" s="11" t="s">
        <v>70</v>
      </c>
      <c r="B36" s="8" t="n">
        <f aca="false">C32/B35-1</f>
        <v>-0.013276836158192</v>
      </c>
      <c r="C36" s="5"/>
      <c r="D36" s="5"/>
    </row>
    <row r="37" customFormat="false" ht="15" hidden="false" customHeight="true" outlineLevel="0" collapsed="false">
      <c r="A37" s="11" t="s">
        <v>71</v>
      </c>
      <c r="B37" s="8" t="n">
        <f aca="false">D32/B35-1</f>
        <v>0.0214031843862352</v>
      </c>
      <c r="C37" s="5"/>
      <c r="D37" s="5"/>
    </row>
    <row r="38" customFormat="false" ht="15" hidden="false" customHeight="true" outlineLevel="0" collapsed="false">
      <c r="A38" s="5"/>
      <c r="B38" s="5"/>
      <c r="C38" s="5"/>
      <c r="D38" s="5"/>
    </row>
    <row r="39" customFormat="false" ht="15" hidden="false" customHeight="true" outlineLevel="0" collapsed="false">
      <c r="A39" s="11" t="s">
        <v>72</v>
      </c>
      <c r="B39" s="28" t="n">
        <f aca="false">Historicals!C8+Historicals!D8+Historicals!E8+C32</f>
        <v>8.82371186440678</v>
      </c>
      <c r="C39" s="5"/>
      <c r="D39" s="5"/>
    </row>
    <row r="40" customFormat="false" ht="15" hidden="false" customHeight="true" outlineLevel="0" collapsed="false">
      <c r="A40" s="11" t="s">
        <v>73</v>
      </c>
      <c r="B40" s="27" t="n">
        <f aca="false">Historicals!C8+Historicals!D8+Historicals!E8+D32</f>
        <v>8.89237830508474</v>
      </c>
      <c r="C40" s="5"/>
      <c r="D40" s="5"/>
    </row>
    <row r="41" customFormat="false" ht="15" hidden="false" customHeight="true" outlineLevel="0" collapsed="false">
      <c r="A41" s="11" t="s">
        <v>37</v>
      </c>
      <c r="B41" s="30" t="n">
        <f aca="false">Historicals!B20</f>
        <v>36.8427095292767</v>
      </c>
      <c r="C41" s="5"/>
      <c r="D41" s="5"/>
    </row>
    <row r="42" customFormat="false" ht="15" hidden="false" customHeight="true" outlineLevel="0" collapsed="false">
      <c r="A42" s="9" t="s">
        <v>10</v>
      </c>
      <c r="B42" s="29" t="n">
        <f aca="false">B41*B39</f>
        <v>325.089453190371</v>
      </c>
      <c r="C42" s="5"/>
      <c r="D42" s="5"/>
    </row>
    <row r="43" customFormat="false" ht="15" hidden="false" customHeight="true" outlineLevel="0" collapsed="false">
      <c r="A43" s="11" t="s">
        <v>11</v>
      </c>
      <c r="B43" s="27" t="n">
        <f aca="false">B41*B40</f>
        <v>327.619310918679</v>
      </c>
      <c r="C43" s="5"/>
      <c r="D43" s="5"/>
    </row>
    <row r="44" customFormat="false" ht="15" hidden="false" customHeight="true" outlineLevel="0" collapsed="false">
      <c r="A44" s="11" t="s">
        <v>74</v>
      </c>
      <c r="B44" s="7" t="n">
        <f aca="false">Historicals!B17</f>
        <v>320.9</v>
      </c>
      <c r="C44" s="5"/>
      <c r="D44" s="5"/>
    </row>
    <row r="45" customFormat="false" ht="15" hidden="false" customHeight="true" outlineLevel="0" collapsed="false">
      <c r="A45" s="9" t="s">
        <v>13</v>
      </c>
      <c r="B45" s="31" t="n">
        <f aca="false">B42/B44-1</f>
        <v>0.0130553231236255</v>
      </c>
      <c r="C45" s="5"/>
      <c r="D45" s="5"/>
    </row>
    <row r="46" customFormat="false" ht="15" hidden="false" customHeight="true" outlineLevel="0" collapsed="false">
      <c r="A46" s="32" t="s">
        <v>75</v>
      </c>
      <c r="B46" s="33" t="n">
        <f aca="false">B43/B44-1</f>
        <v>0.0209389558076629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2026-09-04T11:11:34Z</dcterms:created>
  <dc:creator>openpyxl</dc:creator>
  <dc:description/>
  <dc:language>en-US</dc:language>
  <cp:lastModifiedBy/>
  <dcterms:modified xsi:type="dcterms:W3CDTF">2026-09-05T10:35:13Z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