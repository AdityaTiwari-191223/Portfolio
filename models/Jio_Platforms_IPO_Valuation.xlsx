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RHP Financials" sheetId="2" state="visible" r:id="rId4"/>
    <sheet name="Peer Comps" sheetId="3" state="visible" r:id="rId5"/>
    <sheet name="Valuation &amp; Price Ba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Restated Consolidated Financial Information, DRHP p.123. FY24-26 = years ended March 31.</t>
        </r>
      </text>
    </comment>
    <comment ref="E6" authorId="0">
      <text>
        <r>
          <rPr>
            <sz val="10"/>
            <rFont val="Arial"/>
            <family val="2"/>
          </rPr>
          <t xml:space="preserve">EBITDA = PBT (pre share of assoc./JV) + D&amp;A + Finance Costs, per DRHP KPI definitions, p.118.</t>
        </r>
      </text>
    </comment>
    <comment ref="E8" authorId="0">
      <text>
        <r>
          <rPr>
            <sz val="10"/>
            <rFont val="Arial"/>
            <family val="2"/>
          </rPr>
          <t xml:space="preserve">EBIT = EBITDA less D&amp;A, per DRHP KPI definitions, p.118.</t>
        </r>
      </text>
    </comment>
    <comment ref="E10" authorId="0">
      <text>
        <r>
          <rPr>
            <sz val="10"/>
            <rFont val="Arial"/>
            <family val="2"/>
          </rPr>
          <t xml:space="preserve">DRHP p.123.</t>
        </r>
      </text>
    </comment>
    <comment ref="E11" authorId="0">
      <text>
        <r>
          <rPr>
            <sz val="10"/>
            <rFont val="Arial"/>
            <family val="2"/>
          </rPr>
          <t xml:space="preserve">DRHP p.123.</t>
        </r>
      </text>
    </comment>
    <comment ref="E13" authorId="0">
      <text>
        <r>
          <rPr>
            <sz val="10"/>
            <rFont val="Arial"/>
            <family val="2"/>
          </rPr>
          <t xml:space="preserve">Current + non-current borrowings less cash &amp; marketable securities. DRHP p.394 (MD&amp;A Non-GAAP measures).</t>
        </r>
      </text>
    </comment>
    <comment ref="E15" authorId="0">
      <text>
        <r>
          <rPr>
            <sz val="10"/>
            <rFont val="Arial"/>
            <family val="2"/>
          </rPr>
          <t xml:space="preserve">DRHP p.376, 'Other Financial Information'.</t>
        </r>
      </text>
    </comment>
    <comment ref="E16" authorId="0">
      <text>
        <r>
          <rPr>
            <sz val="10"/>
            <rFont val="Arial"/>
            <family val="2"/>
          </rPr>
          <t xml:space="preserve">Net worth / shares outstanding at period end. DRHP p.376.</t>
        </r>
      </text>
    </comment>
    <comment ref="E17" authorId="0">
      <text>
        <r>
          <rPr>
            <sz val="10"/>
            <rFont val="Arial"/>
            <family val="2"/>
          </rPr>
          <t xml:space="preserve">DRHP p.376.</t>
        </r>
      </text>
    </comment>
    <comment ref="E20" authorId="0">
      <text>
        <r>
          <rPr>
            <sz val="10"/>
            <rFont val="Arial"/>
            <family val="2"/>
          </rPr>
          <t xml:space="preserve">RJIL total customers, exit quarter. DRHP p.123.</t>
        </r>
      </text>
    </comment>
    <comment ref="E21" authorId="0">
      <text>
        <r>
          <rPr>
            <sz val="10"/>
            <rFont val="Arial"/>
            <family val="2"/>
          </rPr>
          <t xml:space="preserve">DRHP p.123.</t>
        </r>
      </text>
    </comment>
    <comment ref="E26" authorId="0">
      <text>
        <r>
          <rPr>
            <sz val="10"/>
            <rFont val="Arial"/>
            <family val="2"/>
          </rPr>
          <t xml:space="preserve">DRHP: fresh issue of up to 270,000,000 Equity Shares of ₹10 face value; no offer for sale.</t>
        </r>
      </text>
    </comment>
    <comment ref="E27" authorId="0">
      <text>
        <r>
          <rPr>
            <sz val="10"/>
            <rFont val="Arial"/>
            <family val="2"/>
          </rPr>
          <t xml:space="preserve">DRHP exchange rate table (p.22): USD/INR as on March 31, 2026, per FEDAI/FBIL.</t>
        </r>
      </text>
    </comment>
    <comment ref="E28" authorId="0">
      <text>
        <r>
          <rPr>
            <sz val="10"/>
            <rFont val="Arial"/>
            <family val="2"/>
          </rPr>
          <t xml:space="preserve">DRHP 'Objects of the Issue' (p.106): up to ₹275,000mm to prepay RJIL borrowings — nearly extinguishing FY26 net debt of ₹275,792mm.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DRHP p.123-124, FY2026 (year ended March 31, 2026), as reported by each company for the purposes of Jio's own DRHP peer comparison table.</t>
        </r>
      </text>
    </comment>
    <comment ref="C16" authorId="0">
      <text>
        <r>
          <rPr>
            <sz val="10"/>
            <rFont val="Arial"/>
            <family val="2"/>
          </rPr>
          <t xml:space="preserve">NSE close, Aug 24, 2026 (Kotak Neo market data).</t>
        </r>
      </text>
    </comment>
    <comment ref="C17" authorId="0">
      <text>
        <r>
          <rPr>
            <sz val="10"/>
            <rFont val="Arial"/>
            <family val="2"/>
          </rPr>
          <t xml:space="preserve">Note: Share price x shares outstanding, Aug 24, 2026 market data (Kotak Neo); cross-checked against Screener.in (~₹11.75 trillion) and TipRanks (₹12.04 trillion).</t>
        </r>
      </text>
    </comment>
    <comment ref="C18" authorId="0">
      <text>
        <r>
          <rPr>
            <sz val="10"/>
            <rFont val="Arial"/>
            <family val="2"/>
          </rPr>
          <t xml:space="preserve">TipRanks market data snapshot, Aug 2026: EV ₹14.47 trillion.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Midpoint of the EV/EBITDA implied by street analyst EV estimates ($130-148bn range: ICICI Sec $148bn by FY27E, Goldman Sachs base $123bn, JM Financial ~$153bn EV) divided by FY26A EBITDA of ~$8.04bn.</t>
        </r>
      </text>
    </comment>
    <comment ref="C8" authorId="0">
      <text>
        <r>
          <rPr>
            <sz val="10"/>
            <rFont val="Arial"/>
            <family val="2"/>
          </rPr>
          <t xml:space="preserve">Implied by the top of the reported banker/analyst range (Bloomberg: bankers proposing up to $170bn; Goldman Sachs bull case $154bn) on FY26A EBITDA.</t>
        </r>
      </text>
    </comment>
  </commentList>
</comments>
</file>

<file path=xl/sharedStrings.xml><?xml version="1.0" encoding="utf-8"?>
<sst xmlns="http://schemas.openxmlformats.org/spreadsheetml/2006/main" count="123" uniqueCount="109">
  <si>
    <t xml:space="preserve">Jio Platforms Limited — IPO Valuation Analysis</t>
  </si>
  <si>
    <t xml:space="preserve">Comparable Company Analysis, based on DRHP filed June 19, 2026</t>
  </si>
  <si>
    <t xml:space="preserve">DRHP filing date:</t>
  </si>
  <si>
    <t xml:space="preserve">June 19, 2026</t>
  </si>
  <si>
    <t xml:space="preserve">Fresh issue size:</t>
  </si>
  <si>
    <t xml:space="preserve">Up to 270,000,000 Equity Shares (₹10 FV); no OFS</t>
  </si>
  <si>
    <t xml:space="preserve">Promoter:</t>
  </si>
  <si>
    <t xml:space="preserve">Reliance Industries Limited</t>
  </si>
  <si>
    <t xml:space="preserve">Use of proceeds:</t>
  </si>
  <si>
    <t xml:space="preserve">Up to ₹275,000mm RJIL debt prepayment + general corp. purposes (cap 25% of gross proceeds)</t>
  </si>
  <si>
    <t xml:space="preserve">Headline Numbers (FY2026A, Restated Consolidated)</t>
  </si>
  <si>
    <t xml:space="preserve">Revenue (FY26)</t>
  </si>
  <si>
    <t xml:space="preserve">EBITDA (FY26)</t>
  </si>
  <si>
    <t xml:space="preserve">EBITDA Margin</t>
  </si>
  <si>
    <t xml:space="preserve">PAT (FY26)</t>
  </si>
  <si>
    <t xml:space="preserve">Total Customers</t>
  </si>
  <si>
    <t xml:space="preserve">Net Leverage</t>
  </si>
  <si>
    <t xml:space="preserve">Valuation Summary — Implied Price Band (from Valuation tab)</t>
  </si>
  <si>
    <t xml:space="preserve">Scenario</t>
  </si>
  <si>
    <t xml:space="preserve">EV/EBITDA</t>
  </si>
  <si>
    <t xml:space="preserve">Implied EV ($bn)</t>
  </si>
  <si>
    <t xml:space="preserve">Implied Issue Price (₹)</t>
  </si>
  <si>
    <t xml:space="preserve">Post-Money Mkt Cap ($bn)</t>
  </si>
  <si>
    <t xml:space="preserve">Bear (telco-only)</t>
  </si>
  <si>
    <t xml:space="preserve">Base (blended)</t>
  </si>
  <si>
    <t xml:space="preserve">Bull (platform premium)</t>
  </si>
  <si>
    <t xml:space="preserve">This is an independent, illustrative valuation built from Jio Platforms' DRHP-disclosed financials (Restated Consolidated Financial Information, FY2024-FY2026) and public market data for listed peers. It is not a solicitation, recommendation, or a substitute for the Company's own 'Basis for Issue Price' disclosures, which will be finalized only once the price band is announced. Figures in ₹ million unless stated; USD conversion at ₹94.835/$ (DRHP FY26 FEDAI/FBIL reference rate).</t>
  </si>
  <si>
    <t xml:space="preserve">Jio Platforms Limited — Restated Consolidated Financials (from DRHP)</t>
  </si>
  <si>
    <t xml:space="preserve">Particulars</t>
  </si>
  <si>
    <t xml:space="preserve">FY2024</t>
  </si>
  <si>
    <t xml:space="preserve">FY2025</t>
  </si>
  <si>
    <t xml:space="preserve">FY2026</t>
  </si>
  <si>
    <t xml:space="preserve">Revenue from Operations</t>
  </si>
  <si>
    <t xml:space="preserve">EBITDA</t>
  </si>
  <si>
    <t xml:space="preserve">EBIT</t>
  </si>
  <si>
    <t xml:space="preserve">EBIT Margin</t>
  </si>
  <si>
    <t xml:space="preserve">Profit Before Tax</t>
  </si>
  <si>
    <t xml:space="preserve">Profit After Tax (PAT)</t>
  </si>
  <si>
    <t xml:space="preserve">PAT Margin</t>
  </si>
  <si>
    <t xml:space="preserve">Net Debt</t>
  </si>
  <si>
    <t xml:space="preserve">Net Leverage (Net Debt / EBITDA)</t>
  </si>
  <si>
    <t xml:space="preserve">Basic EPS (₹)</t>
  </si>
  <si>
    <t xml:space="preserve">Net Asset Value per Share (₹)</t>
  </si>
  <si>
    <t xml:space="preserve">Return on Average Net Worth</t>
  </si>
  <si>
    <t xml:space="preserve">Operating KPIs</t>
  </si>
  <si>
    <t xml:space="preserve">Total Customer Base (mm)</t>
  </si>
  <si>
    <t xml:space="preserve">ARPU, exit quarter (₹/month)</t>
  </si>
  <si>
    <t xml:space="preserve">Implied Share Count &amp; Per-Share Metrics</t>
  </si>
  <si>
    <t xml:space="preserve">Pre-issue diluted shares outstanding (mm)</t>
  </si>
  <si>
    <t xml:space="preserve">Back-solved as FY26 PAT ÷ FY26 Basic EPS (DRHP does not separately disclose the exact pre-issue share count in the extracted sections). Used as the basis for all per-share valuation math on the Valuation tab.</t>
  </si>
  <si>
    <t xml:space="preserve">Fresh issue size (Equity Shares, mm)</t>
  </si>
  <si>
    <t xml:space="preserve">USD/INR reference rate</t>
  </si>
  <si>
    <t xml:space="preserve">Debt prepayment from Net Proceeds (₹mm)</t>
  </si>
  <si>
    <t xml:space="preserve">Revenue CAGR, FY24–FY26</t>
  </si>
  <si>
    <t xml:space="preserve">EBITDA CAGR, FY24–FY26</t>
  </si>
  <si>
    <t xml:space="preserve">PAT CAGR, FY24–FY26</t>
  </si>
  <si>
    <t xml:space="preserve">All figures sourced from Jio Platforms Limited's Draft Red Herring Prospectus dated June 19, 2026 (Restated Consolidated Financial Information and Key Performance Indicators sections), unless individually cited. ₹ in millions unless stated.</t>
  </si>
  <si>
    <t xml:space="preserve">Listed Telecom Peer Comparison</t>
  </si>
  <si>
    <t xml:space="preserve">A. Peer KPIs, FY2026 (as disclosed in Jio's own DRHP comp table, p.123-124)</t>
  </si>
  <si>
    <t xml:space="preserve">Particulars ($mm unless %)</t>
  </si>
  <si>
    <t xml:space="preserve">Jio Platforms</t>
  </si>
  <si>
    <t xml:space="preserve">Bharti Airtel (Consol.)</t>
  </si>
  <si>
    <t xml:space="preserve">Bharti Airtel (India ex-Passive Infra)</t>
  </si>
  <si>
    <t xml:space="preserve">Vodafone Idea (Consol.)</t>
  </si>
  <si>
    <t xml:space="preserve">Revenue from Operations (₹mm)</t>
  </si>
  <si>
    <t xml:space="preserve">EBITDA (₹mm)</t>
  </si>
  <si>
    <t xml:space="preserve">EBIT (₹mm)</t>
  </si>
  <si>
    <t xml:space="preserve">PAT (₹mm)</t>
  </si>
  <si>
    <t xml:space="preserve">NA</t>
  </si>
  <si>
    <t xml:space="preserve">Net Leverage (Net Debt/EBITDA)</t>
  </si>
  <si>
    <t xml:space="preserve">B. Listed Peer Market Data (public market pricing, Aug 2026)</t>
  </si>
  <si>
    <t xml:space="preserve">Bharti Airtel</t>
  </si>
  <si>
    <t xml:space="preserve">Vodafone Idea</t>
  </si>
  <si>
    <t xml:space="preserve">Share price (₹)</t>
  </si>
  <si>
    <t xml:space="preserve">Market capitalization (₹mm)</t>
  </si>
  <si>
    <t xml:space="preserve">Enterprise value (₹mm)</t>
  </si>
  <si>
    <t xml:space="preserve">EV / EBITDA (FY26, on DRHP-comparable EBITDA)</t>
  </si>
  <si>
    <t xml:space="preserve">P/E (trailing, FY26)</t>
  </si>
  <si>
    <t xml:space="preserve">Vodafone Idea shown for completeness (DRHP KPI comparability only): negative EBIT, no stable EV/EBITDA anchor given ongoing financial distress — not used as a valuation multiple reference. Bharti Airtel (Consolidated) is the primary listed-peer multiple anchor; its 'India ex-Passive Infra' cut is structurally closer to Jio's core telecom business (excludes the lower-multiple Indus Towers passive infrastructure business now consolidated into Airtel) but has no separately listed market price, so it is shown for KPI/margin comparison only.</t>
  </si>
  <si>
    <t xml:space="preserve">Jio Platforms Limited — Implied Valuation &amp; IPO Price Band</t>
  </si>
  <si>
    <t xml:space="preserve">A. EV/EBITDA Multiple Scenarios</t>
  </si>
  <si>
    <t xml:space="preserve">Basis</t>
  </si>
  <si>
    <t xml:space="preserve">Bear — telco-only (Bharti Airtel consolidated multiple, no premium)</t>
  </si>
  <si>
    <t xml:space="preserve">(listed peer EV/EBITDA, unadjusted)</t>
  </si>
  <si>
    <t xml:space="preserve">Base — blended (telco anchor + moderate platform premium)</t>
  </si>
  <si>
    <t xml:space="preserve">Bull — platform premium (street 'peak' scenarios)</t>
  </si>
  <si>
    <t xml:space="preserve">Why Jio is unlikely to price like a pure telco: Jio's own DRHP frames the business as a digital connectivity + digital-services platform (AI, cloud, enterprise digital, MyJio app ecosystem), not a commodity carrier. Reported banker/analyst valuations of $123-180bn imply EV/EBITDA of ~15-22x on FY26A EBITDA — roughly 1.3-1.9x Bharti Airtel's ~12x — a scarcity/platform premium consistent with India's largest-ever IPO.</t>
  </si>
  <si>
    <t xml:space="preserve">B. Implied Valuation, Issue Price &amp; Proceeds</t>
  </si>
  <si>
    <t xml:space="preserve">Bear</t>
  </si>
  <si>
    <t xml:space="preserve">Base</t>
  </si>
  <si>
    <t xml:space="preserve">Bull</t>
  </si>
  <si>
    <t xml:space="preserve">FY26A EBITDA (₹mm)</t>
  </si>
  <si>
    <t xml:space="preserve">Implied Enterprise Value (₹mm)</t>
  </si>
  <si>
    <t xml:space="preserve">Implied Enterprise Value ($bn)</t>
  </si>
  <si>
    <t xml:space="preserve">Less: FY26A Net Debt (₹mm)</t>
  </si>
  <si>
    <t xml:space="preserve">Pre-Money Equity Value (₹mm)</t>
  </si>
  <si>
    <t xml:space="preserve">÷ Pre-issue diluted shares (mm)</t>
  </si>
  <si>
    <t xml:space="preserve">Implied Issue Price (₹/share)</t>
  </si>
  <si>
    <t xml:space="preserve">Fresh issue proceeds (₹mm) = Price × 270mm shares</t>
  </si>
  <si>
    <t xml:space="preserve">Fresh issue proceeds ($bn)</t>
  </si>
  <si>
    <t xml:space="preserve">Post-Money Market Cap (₹mm)</t>
  </si>
  <si>
    <t xml:space="preserve">Post-Money Market Cap ($bn)</t>
  </si>
  <si>
    <t xml:space="preserve">C. Sanity Checks vs. Peers &amp; Street Estimates</t>
  </si>
  <si>
    <t xml:space="preserve">Implied EV/EBITDA (post-money, FY26A)</t>
  </si>
  <si>
    <t xml:space="preserve">vs. Bharti Airtel EV/EBITDA</t>
  </si>
  <si>
    <t xml:space="preserve">Implied P/E (post-money, FY26A PAT)</t>
  </si>
  <si>
    <t xml:space="preserve">vs. Bharti Airtel P/E</t>
  </si>
  <si>
    <t xml:space="preserve">Street analyst EV range referenced (independent, not this model)</t>
  </si>
  <si>
    <t xml:space="preserve">Goldman Sachs: bear $98bn / base $123bn / bull $154bn EV (reportedly, per financial media coverage — not independently verified against a primary GS research note). Jefferies: $136-180bn EV (varies by note date; $180bn cited Nov 2025 is independently corroborated by Reuters/Business Standard coverage of the same Jefferies estimate). JM Financial: ~$140bn equity / ~$153bn EV (reportedly). ICICI Securities: ~$148bn by FY27 (reportedly). Bankers reportedly pitching sponsors as wide as $130-170bn (Bloomberg, Nov 2025). This model's own Bear/Base/Bull of $96bn / $129bn / $169bn EV (see row above) is an independent triangulation built from FY26A actuals and the listed Bharti Airtel multiple — it is not a restatement of any single house view, and sits within the range of reported street estimates above.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</si>
</sst>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"/>
    <numFmt numFmtId="167" formatCode="#,##0.0"/>
    <numFmt numFmtId="168" formatCode="0.0\x"/>
    <numFmt numFmtId="169" formatCode="0.0"/>
    <numFmt numFmtId="170" formatCode="\₹#,##0"/>
    <numFmt numFmtId="171" formatCode="\₹#,##0.00"/>
    <numFmt numFmtId="172" formatCode="0.00%"/>
    <numFmt numFmtId="173" formatCode="0.000"/>
    <numFmt numFmtId="174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942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E5FA8"/>
      <name val="Arial"/>
      <family val="0"/>
      <charset val="1"/>
    </font>
    <font>
      <sz val="8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5FA8"/>
        <bgColor rgb="FF2E6FB8"/>
      </patternFill>
    </fill>
    <fill>
      <patternFill patternType="solid">
        <fgColor rgb="FFEAF1FB"/>
        <bgColor rgb="FFFFFFFF"/>
      </patternFill>
    </fill>
    <fill>
      <patternFill patternType="solid">
        <fgColor rgb="FF374151"/>
        <bgColor rgb="FF4B5563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1E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2E6FB8"/>
      <rgbColor rgb="FF33CCCC"/>
      <rgbColor rgb="FF99CC00"/>
      <rgbColor rgb="FFFFCC00"/>
      <rgbColor rgb="FFFF9900"/>
      <rgbColor rgb="FFFF6600"/>
      <rgbColor rgb="FF6B7280"/>
      <rgbColor rgb="FF969696"/>
      <rgbColor rgb="FF0F2942"/>
      <rgbColor rgb="FF4A8FD1"/>
      <rgbColor rgb="FF003300"/>
      <rgbColor rgb="FF333300"/>
      <rgbColor rgb="FF993300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942"/>
    <pageSetUpPr fitToPage="true"/>
  </sheetPr>
  <dimension ref="B2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6" min="5" style="1" width="20"/>
    <col collapsed="false" customWidth="true" hidden="false" outlineLevel="0" max="7" min="7" style="1" width="18"/>
    <col collapsed="false" customWidth="true" hidden="false" outlineLevel="0" max="8" min="8" style="1" width="3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8" customFormat="false" ht="15" hidden="false" customHeight="true" outlineLevel="0" collapsed="false">
      <c r="B8" s="4" t="s">
        <v>8</v>
      </c>
      <c r="C8" s="5" t="s">
        <v>9</v>
      </c>
    </row>
    <row r="10" customFormat="false" ht="19.5" hidden="false" customHeight="true" outlineLevel="0" collapsed="false">
      <c r="B10" s="6" t="s">
        <v>10</v>
      </c>
      <c r="C10" s="7"/>
      <c r="D10" s="7"/>
      <c r="E10" s="7"/>
      <c r="F10" s="7"/>
      <c r="G10" s="7"/>
    </row>
    <row r="12" customFormat="false" ht="17.25" hidden="false" customHeight="true" outlineLevel="0" collapsed="false">
      <c r="B12" s="8" t="n">
        <f aca="false">'DRHP Financials'!E5</f>
        <v>1468853</v>
      </c>
      <c r="C12" s="8" t="n">
        <f aca="false">'DRHP Financials'!E6</f>
        <v>762554</v>
      </c>
      <c r="D12" s="9" t="n">
        <f aca="false">'DRHP Financials'!E7</f>
        <v>0.519149295402603</v>
      </c>
      <c r="E12" s="8" t="n">
        <f aca="false">'DRHP Financials'!E11</f>
        <v>300491</v>
      </c>
      <c r="F12" s="10" t="n">
        <f aca="false">'DRHP Financials'!E20</f>
        <v>524.4</v>
      </c>
      <c r="G12" s="11" t="n">
        <f aca="false">'DRHP Financials'!E14</f>
        <v>0.361668812962754</v>
      </c>
    </row>
    <row r="13" customFormat="false" ht="15" hidden="false" customHeight="true" outlineLevel="0" collapsed="false"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5" customFormat="false" ht="19.5" hidden="false" customHeight="true" outlineLevel="0" collapsed="false">
      <c r="B15" s="6" t="s">
        <v>17</v>
      </c>
      <c r="C15" s="7"/>
      <c r="D15" s="7"/>
      <c r="E15" s="7"/>
      <c r="F15" s="7"/>
      <c r="G15" s="7"/>
    </row>
    <row r="16" customFormat="false" ht="15" hidden="false" customHeight="true" outlineLevel="0" collapsed="false">
      <c r="B16" s="13" t="s">
        <v>18</v>
      </c>
      <c r="C16" s="13" t="s">
        <v>19</v>
      </c>
      <c r="D16" s="13" t="s">
        <v>20</v>
      </c>
      <c r="E16" s="13" t="s">
        <v>21</v>
      </c>
      <c r="F16" s="13" t="s">
        <v>22</v>
      </c>
    </row>
    <row r="17" customFormat="false" ht="15" hidden="false" customHeight="true" outlineLevel="0" collapsed="false">
      <c r="B17" s="14" t="s">
        <v>23</v>
      </c>
      <c r="C17" s="15" t="n">
        <f aca="false">'Valuation &amp; Price Band'!C6</f>
        <v>11.9322885915117</v>
      </c>
      <c r="D17" s="16" t="n">
        <f aca="false">'Valuation &amp; Price Band'!C16</f>
        <v>95.9457414942963</v>
      </c>
      <c r="E17" s="17" t="n">
        <f aca="false">'Valuation &amp; Price Band'!C21</f>
        <v>987.467075988258</v>
      </c>
      <c r="F17" s="16" t="n">
        <f aca="false">'Valuation &amp; Price Band'!C27</f>
        <v>95.8489851334256</v>
      </c>
    </row>
    <row r="18" customFormat="false" ht="15" hidden="false" customHeight="true" outlineLevel="0" collapsed="false">
      <c r="B18" s="14" t="s">
        <v>24</v>
      </c>
      <c r="C18" s="15" t="n">
        <f aca="false">'Valuation &amp; Price Band'!C7</f>
        <v>16</v>
      </c>
      <c r="D18" s="16" t="n">
        <f aca="false">'Valuation &amp; Price Band'!D16</f>
        <v>128.653598355038</v>
      </c>
      <c r="E18" s="17" t="n">
        <f aca="false">'Valuation &amp; Price Band'!D21</f>
        <v>1334.61624927202</v>
      </c>
      <c r="F18" s="16" t="n">
        <f aca="false">'Valuation &amp; Price Band'!D27</f>
        <v>129.545193096467</v>
      </c>
    </row>
    <row r="19" customFormat="false" ht="15" hidden="false" customHeight="true" outlineLevel="0" collapsed="false">
      <c r="B19" s="14" t="s">
        <v>25</v>
      </c>
      <c r="C19" s="15" t="n">
        <f aca="false">'Valuation &amp; Price Band'!C8</f>
        <v>21</v>
      </c>
      <c r="D19" s="16" t="n">
        <f aca="false">'Valuation &amp; Price Band'!E16</f>
        <v>168.857847840987</v>
      </c>
      <c r="E19" s="17" t="n">
        <f aca="false">'Valuation &amp; Price Band'!E21</f>
        <v>1761.32937911618</v>
      </c>
      <c r="F19" s="16" t="n">
        <f aca="false">'Valuation &amp; Price Band'!E27</f>
        <v>170.964316258358</v>
      </c>
    </row>
    <row r="21" customFormat="false" ht="27.75" hidden="false" customHeight="true" outlineLevel="0" collapsed="false">
      <c r="B21" s="18" t="s">
        <v>26</v>
      </c>
      <c r="C21" s="18"/>
      <c r="D21" s="18"/>
      <c r="E21" s="18"/>
      <c r="F21" s="18"/>
      <c r="G21" s="18"/>
    </row>
  </sheetData>
  <mergeCells count="3">
    <mergeCell ref="B2:G2"/>
    <mergeCell ref="B3:G3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FA8"/>
    <pageSetUpPr fitToPage="tru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17.25" hidden="false" customHeight="true" outlineLevel="0" collapsed="false">
      <c r="B2" s="19" t="s">
        <v>27</v>
      </c>
      <c r="C2" s="19"/>
      <c r="D2" s="19"/>
      <c r="E2" s="19"/>
    </row>
    <row r="4" customFormat="false" ht="15" hidden="false" customHeight="true" outlineLevel="0" collapsed="false">
      <c r="B4" s="4" t="s">
        <v>28</v>
      </c>
      <c r="C4" s="20" t="s">
        <v>29</v>
      </c>
      <c r="D4" s="20" t="s">
        <v>30</v>
      </c>
      <c r="E4" s="20" t="s">
        <v>31</v>
      </c>
    </row>
    <row r="5" customFormat="false" ht="15" hidden="false" customHeight="true" outlineLevel="0" collapsed="false">
      <c r="B5" s="14" t="s">
        <v>32</v>
      </c>
      <c r="C5" s="21" t="n">
        <v>1095581</v>
      </c>
      <c r="D5" s="21" t="n">
        <v>1282184</v>
      </c>
      <c r="E5" s="21" t="n">
        <v>1468853</v>
      </c>
    </row>
    <row r="6" customFormat="false" ht="15" hidden="false" customHeight="true" outlineLevel="0" collapsed="false">
      <c r="B6" s="14" t="s">
        <v>33</v>
      </c>
      <c r="C6" s="21" t="n">
        <v>549587</v>
      </c>
      <c r="D6" s="21" t="n">
        <v>641700</v>
      </c>
      <c r="E6" s="21" t="n">
        <v>762554</v>
      </c>
    </row>
    <row r="7" customFormat="false" ht="15" hidden="false" customHeight="true" outlineLevel="0" collapsed="false">
      <c r="B7" s="14" t="s">
        <v>13</v>
      </c>
      <c r="C7" s="22" t="n">
        <f aca="false">C6/C5</f>
        <v>0.501639769218342</v>
      </c>
      <c r="D7" s="22" t="n">
        <f aca="false">D6/D5</f>
        <v>0.500474190911757</v>
      </c>
      <c r="E7" s="22" t="n">
        <f aca="false">E6/E5</f>
        <v>0.519149295402603</v>
      </c>
    </row>
    <row r="8" customFormat="false" ht="15" hidden="false" customHeight="true" outlineLevel="0" collapsed="false">
      <c r="B8" s="14" t="s">
        <v>34</v>
      </c>
      <c r="C8" s="21" t="n">
        <v>328556</v>
      </c>
      <c r="D8" s="21" t="n">
        <v>400324</v>
      </c>
      <c r="E8" s="21" t="n">
        <v>490065</v>
      </c>
    </row>
    <row r="9" customFormat="false" ht="15" hidden="false" customHeight="true" outlineLevel="0" collapsed="false">
      <c r="B9" s="14" t="s">
        <v>35</v>
      </c>
      <c r="C9" s="22" t="n">
        <f aca="false">C8/C5</f>
        <v>0.299892020763412</v>
      </c>
      <c r="D9" s="22" t="n">
        <f aca="false">D8/D5</f>
        <v>0.312220398944301</v>
      </c>
      <c r="E9" s="22" t="n">
        <f aca="false">E8/E5</f>
        <v>0.33363787935212</v>
      </c>
    </row>
    <row r="10" customFormat="false" ht="15" hidden="false" customHeight="true" outlineLevel="0" collapsed="false">
      <c r="B10" s="14" t="s">
        <v>36</v>
      </c>
      <c r="C10" s="21" t="n">
        <v>288080</v>
      </c>
      <c r="D10" s="21" t="n">
        <v>351273</v>
      </c>
      <c r="E10" s="21" t="n">
        <v>403531</v>
      </c>
    </row>
    <row r="11" customFormat="false" ht="15" hidden="false" customHeight="true" outlineLevel="0" collapsed="false">
      <c r="B11" s="4" t="s">
        <v>37</v>
      </c>
      <c r="C11" s="21" t="n">
        <v>214232</v>
      </c>
      <c r="D11" s="21" t="n">
        <v>261090</v>
      </c>
      <c r="E11" s="21" t="n">
        <v>300491</v>
      </c>
    </row>
    <row r="12" customFormat="false" ht="15" hidden="false" customHeight="true" outlineLevel="0" collapsed="false">
      <c r="B12" s="14" t="s">
        <v>38</v>
      </c>
      <c r="C12" s="22" t="n">
        <f aca="false">C11/C5</f>
        <v>0.19554190881368</v>
      </c>
      <c r="D12" s="22" t="n">
        <f aca="false">D11/D5</f>
        <v>0.203629120313465</v>
      </c>
      <c r="E12" s="22" t="n">
        <f aca="false">E11/E5</f>
        <v>0.20457527063634</v>
      </c>
    </row>
    <row r="13" customFormat="false" ht="15" hidden="false" customHeight="true" outlineLevel="0" collapsed="false">
      <c r="B13" s="14" t="s">
        <v>39</v>
      </c>
      <c r="C13" s="21" t="n">
        <v>484400</v>
      </c>
      <c r="D13" s="21" t="n">
        <v>452734</v>
      </c>
      <c r="E13" s="21" t="n">
        <v>275792</v>
      </c>
    </row>
    <row r="14" customFormat="false" ht="15" hidden="false" customHeight="true" outlineLevel="0" collapsed="false">
      <c r="B14" s="14" t="s">
        <v>40</v>
      </c>
      <c r="C14" s="23" t="n">
        <f aca="false">C13/C6</f>
        <v>0.881389115826976</v>
      </c>
      <c r="D14" s="23" t="n">
        <f aca="false">D13/D6</f>
        <v>0.705522829982858</v>
      </c>
      <c r="E14" s="23" t="n">
        <f aca="false">E13/E6</f>
        <v>0.361668812962754</v>
      </c>
    </row>
    <row r="15" customFormat="false" ht="15" hidden="false" customHeight="true" outlineLevel="0" collapsed="false">
      <c r="B15" s="14" t="s">
        <v>41</v>
      </c>
      <c r="C15" s="24" t="n">
        <v>23.96</v>
      </c>
      <c r="D15" s="24" t="n">
        <v>29.21</v>
      </c>
      <c r="E15" s="24" t="n">
        <v>33.63</v>
      </c>
    </row>
    <row r="16" customFormat="false" ht="15" hidden="false" customHeight="true" outlineLevel="0" collapsed="false">
      <c r="B16" s="14" t="s">
        <v>42</v>
      </c>
      <c r="C16" s="24" t="n">
        <v>310.85</v>
      </c>
      <c r="D16" s="24" t="n">
        <v>340.11</v>
      </c>
      <c r="E16" s="24" t="n">
        <v>373.66</v>
      </c>
    </row>
    <row r="17" customFormat="false" ht="15" hidden="false" customHeight="true" outlineLevel="0" collapsed="false">
      <c r="B17" s="14" t="s">
        <v>43</v>
      </c>
      <c r="C17" s="25" t="n">
        <v>0.0802</v>
      </c>
      <c r="D17" s="25" t="n">
        <v>0.0897</v>
      </c>
      <c r="E17" s="25" t="n">
        <v>0.0942</v>
      </c>
    </row>
    <row r="19" customFormat="false" ht="19.5" hidden="false" customHeight="true" outlineLevel="0" collapsed="false">
      <c r="B19" s="6" t="s">
        <v>44</v>
      </c>
      <c r="C19" s="7"/>
      <c r="D19" s="7"/>
      <c r="E19" s="7"/>
    </row>
    <row r="20" customFormat="false" ht="15" hidden="false" customHeight="true" outlineLevel="0" collapsed="false">
      <c r="B20" s="14" t="s">
        <v>45</v>
      </c>
      <c r="C20" s="26" t="n">
        <v>481.8</v>
      </c>
      <c r="D20" s="26" t="n">
        <v>488.2</v>
      </c>
      <c r="E20" s="26" t="n">
        <v>524.4</v>
      </c>
    </row>
    <row r="21" customFormat="false" ht="15" hidden="false" customHeight="true" outlineLevel="0" collapsed="false">
      <c r="B21" s="14" t="s">
        <v>46</v>
      </c>
      <c r="C21" s="24" t="n">
        <v>181.7</v>
      </c>
      <c r="D21" s="24" t="n">
        <v>206.2</v>
      </c>
      <c r="E21" s="24" t="n">
        <v>214</v>
      </c>
    </row>
    <row r="23" customFormat="false" ht="19.5" hidden="false" customHeight="true" outlineLevel="0" collapsed="false">
      <c r="B23" s="6" t="s">
        <v>47</v>
      </c>
      <c r="C23" s="7"/>
      <c r="D23" s="7"/>
      <c r="E23" s="7"/>
    </row>
    <row r="24" customFormat="false" ht="15" hidden="false" customHeight="true" outlineLevel="0" collapsed="false">
      <c r="B24" s="4" t="s">
        <v>48</v>
      </c>
      <c r="E24" s="27" t="n">
        <f aca="false">E11/E15</f>
        <v>8935.2066607196</v>
      </c>
    </row>
    <row r="25" customFormat="false" ht="18.75" hidden="false" customHeight="true" outlineLevel="0" collapsed="false">
      <c r="B25" s="18" t="s">
        <v>49</v>
      </c>
      <c r="C25" s="18"/>
      <c r="D25" s="18"/>
      <c r="E25" s="18"/>
    </row>
    <row r="26" customFormat="false" ht="15" hidden="false" customHeight="true" outlineLevel="0" collapsed="false">
      <c r="B26" s="14" t="s">
        <v>50</v>
      </c>
      <c r="E26" s="26" t="n">
        <v>270</v>
      </c>
    </row>
    <row r="27" customFormat="false" ht="15" hidden="false" customHeight="true" outlineLevel="0" collapsed="false">
      <c r="B27" s="14" t="s">
        <v>51</v>
      </c>
      <c r="E27" s="28" t="n">
        <v>94.835</v>
      </c>
    </row>
    <row r="28" customFormat="false" ht="15" hidden="false" customHeight="true" outlineLevel="0" collapsed="false">
      <c r="B28" s="14" t="s">
        <v>52</v>
      </c>
      <c r="E28" s="21" t="n">
        <v>275000</v>
      </c>
    </row>
    <row r="30" customFormat="false" ht="15" hidden="false" customHeight="true" outlineLevel="0" collapsed="false">
      <c r="B30" s="29" t="s">
        <v>53</v>
      </c>
      <c r="E30" s="22" t="n">
        <f aca="false">(E5/C5)^(1/2)-1</f>
        <v>0.157888981868633</v>
      </c>
    </row>
    <row r="31" customFormat="false" ht="15" hidden="false" customHeight="true" outlineLevel="0" collapsed="false">
      <c r="B31" s="29" t="s">
        <v>54</v>
      </c>
      <c r="E31" s="22" t="n">
        <f aca="false">(E6/C6)^(1/2)-1</f>
        <v>0.177923472611579</v>
      </c>
    </row>
    <row r="32" customFormat="false" ht="15" hidden="false" customHeight="true" outlineLevel="0" collapsed="false">
      <c r="B32" s="29" t="s">
        <v>55</v>
      </c>
      <c r="E32" s="22" t="n">
        <f aca="false">(E11/C11)^(1/2)-1</f>
        <v>0.184332271434376</v>
      </c>
    </row>
    <row r="34" customFormat="false" ht="18.75" hidden="false" customHeight="true" outlineLevel="0" collapsed="false">
      <c r="B34" s="18" t="s">
        <v>56</v>
      </c>
      <c r="C34" s="18"/>
      <c r="D34" s="18"/>
      <c r="E34" s="18"/>
    </row>
  </sheetData>
  <mergeCells count="3">
    <mergeCell ref="B2:E2"/>
    <mergeCell ref="B25:E25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FB8"/>
    <pageSetUpPr fitToPage="tru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6" min="4" style="1" width="20"/>
    <col collapsed="false" customWidth="true" hidden="false" outlineLevel="0" max="7" min="7" style="1" width="3"/>
  </cols>
  <sheetData>
    <row r="2" customFormat="false" ht="17.25" hidden="false" customHeight="true" outlineLevel="0" collapsed="false">
      <c r="B2" s="19" t="s">
        <v>57</v>
      </c>
      <c r="C2" s="19"/>
      <c r="D2" s="19"/>
      <c r="E2" s="19"/>
      <c r="F2" s="19"/>
    </row>
    <row r="4" customFormat="false" ht="19.5" hidden="false" customHeight="true" outlineLevel="0" collapsed="false">
      <c r="B4" s="6" t="s">
        <v>58</v>
      </c>
      <c r="C4" s="7"/>
      <c r="D4" s="7"/>
      <c r="E4" s="7"/>
      <c r="F4" s="7"/>
    </row>
    <row r="5" customFormat="false" ht="31.5" hidden="false" customHeight="true" outlineLevel="0" collapsed="false">
      <c r="B5" s="4" t="s">
        <v>59</v>
      </c>
      <c r="C5" s="30" t="s">
        <v>60</v>
      </c>
      <c r="D5" s="30" t="s">
        <v>61</v>
      </c>
      <c r="E5" s="30" t="s">
        <v>62</v>
      </c>
      <c r="F5" s="30" t="s">
        <v>63</v>
      </c>
    </row>
    <row r="6" customFormat="false" ht="15" hidden="false" customHeight="true" outlineLevel="0" collapsed="false">
      <c r="B6" s="14" t="s">
        <v>64</v>
      </c>
      <c r="C6" s="21" t="n">
        <v>1468853</v>
      </c>
      <c r="D6" s="21" t="n">
        <v>2109728</v>
      </c>
      <c r="E6" s="21" t="n">
        <v>1403734</v>
      </c>
      <c r="F6" s="21" t="n">
        <v>448730</v>
      </c>
    </row>
    <row r="7" customFormat="false" ht="15" hidden="false" customHeight="true" outlineLevel="0" collapsed="false">
      <c r="B7" s="14" t="s">
        <v>65</v>
      </c>
      <c r="C7" s="21" t="n">
        <v>762554</v>
      </c>
      <c r="D7" s="21" t="n">
        <v>1212676</v>
      </c>
      <c r="E7" s="21" t="n">
        <v>821926</v>
      </c>
      <c r="F7" s="21" t="n">
        <v>190040</v>
      </c>
    </row>
    <row r="8" customFormat="false" ht="15" hidden="false" customHeight="true" outlineLevel="0" collapsed="false">
      <c r="B8" s="14" t="s">
        <v>13</v>
      </c>
      <c r="C8" s="25" t="n">
        <v>0.5191</v>
      </c>
      <c r="D8" s="25" t="n">
        <v>0.5748</v>
      </c>
      <c r="E8" s="25" t="n">
        <v>0.5855</v>
      </c>
      <c r="F8" s="25" t="n">
        <v>0.4235</v>
      </c>
    </row>
    <row r="9" customFormat="false" ht="15" hidden="false" customHeight="true" outlineLevel="0" collapsed="false">
      <c r="B9" s="14" t="s">
        <v>66</v>
      </c>
      <c r="C9" s="21" t="n">
        <v>490065</v>
      </c>
      <c r="D9" s="21" t="n">
        <v>680996</v>
      </c>
      <c r="E9" s="21" t="n">
        <v>426248</v>
      </c>
      <c r="F9" s="21" t="n">
        <v>-31040</v>
      </c>
    </row>
    <row r="10" customFormat="false" ht="15" hidden="false" customHeight="true" outlineLevel="0" collapsed="false">
      <c r="B10" s="14" t="s">
        <v>67</v>
      </c>
      <c r="C10" s="21" t="n">
        <v>300491</v>
      </c>
      <c r="D10" s="21" t="n">
        <v>338228</v>
      </c>
      <c r="E10" s="31" t="s">
        <v>68</v>
      </c>
      <c r="F10" s="21" t="n">
        <v>345520</v>
      </c>
    </row>
    <row r="11" customFormat="false" ht="15" hidden="false" customHeight="true" outlineLevel="0" collapsed="false">
      <c r="B11" s="14" t="s">
        <v>69</v>
      </c>
      <c r="C11" s="32" t="n">
        <v>0.36</v>
      </c>
      <c r="D11" s="32" t="n">
        <v>1.36</v>
      </c>
      <c r="E11" s="31" t="s">
        <v>68</v>
      </c>
      <c r="F11" s="31" t="s">
        <v>68</v>
      </c>
    </row>
    <row r="12" customFormat="false" ht="15" hidden="false" customHeight="true" outlineLevel="0" collapsed="false">
      <c r="B12" s="14" t="s">
        <v>45</v>
      </c>
      <c r="C12" s="26" t="n">
        <v>524.4</v>
      </c>
      <c r="D12" s="26" t="n">
        <v>666</v>
      </c>
      <c r="E12" s="26" t="n">
        <v>482.4</v>
      </c>
      <c r="F12" s="26" t="n">
        <v>192.8</v>
      </c>
    </row>
    <row r="14" customFormat="false" ht="19.5" hidden="false" customHeight="true" outlineLevel="0" collapsed="false">
      <c r="B14" s="6" t="s">
        <v>70</v>
      </c>
      <c r="C14" s="7"/>
      <c r="D14" s="7"/>
      <c r="E14" s="7"/>
      <c r="F14" s="7"/>
    </row>
    <row r="15" customFormat="false" ht="15" hidden="false" customHeight="true" outlineLevel="0" collapsed="false">
      <c r="B15" s="4" t="s">
        <v>28</v>
      </c>
      <c r="C15" s="20" t="s">
        <v>71</v>
      </c>
      <c r="D15" s="20" t="s">
        <v>72</v>
      </c>
    </row>
    <row r="16" customFormat="false" ht="15" hidden="false" customHeight="true" outlineLevel="0" collapsed="false">
      <c r="B16" s="14" t="s">
        <v>73</v>
      </c>
      <c r="C16" s="24" t="n">
        <v>1941.3</v>
      </c>
      <c r="D16" s="33" t="s">
        <v>68</v>
      </c>
    </row>
    <row r="17" customFormat="false" ht="15" hidden="false" customHeight="true" outlineLevel="0" collapsed="false">
      <c r="B17" s="14" t="s">
        <v>74</v>
      </c>
      <c r="C17" s="21" t="n">
        <v>12144015</v>
      </c>
      <c r="D17" s="33" t="s">
        <v>68</v>
      </c>
    </row>
    <row r="18" customFormat="false" ht="15" hidden="false" customHeight="true" outlineLevel="0" collapsed="false">
      <c r="B18" s="14" t="s">
        <v>75</v>
      </c>
      <c r="C18" s="21" t="n">
        <v>14470000</v>
      </c>
      <c r="D18" s="33" t="s">
        <v>68</v>
      </c>
    </row>
    <row r="19" customFormat="false" ht="15" hidden="false" customHeight="true" outlineLevel="0" collapsed="false">
      <c r="B19" s="4" t="s">
        <v>76</v>
      </c>
      <c r="C19" s="34" t="n">
        <f aca="false">C18/D7</f>
        <v>11.9322885915117</v>
      </c>
      <c r="D19" s="33" t="s">
        <v>68</v>
      </c>
    </row>
    <row r="20" customFormat="false" ht="15" hidden="false" customHeight="true" outlineLevel="0" collapsed="false">
      <c r="B20" s="14" t="s">
        <v>77</v>
      </c>
      <c r="C20" s="23" t="n">
        <f aca="false">C17/D10</f>
        <v>35.9048186430455</v>
      </c>
      <c r="D20" s="33" t="s">
        <v>68</v>
      </c>
    </row>
    <row r="22" customFormat="false" ht="36.75" hidden="false" customHeight="true" outlineLevel="0" collapsed="false">
      <c r="B22" s="18" t="s">
        <v>78</v>
      </c>
      <c r="C22" s="18"/>
      <c r="D22" s="18"/>
      <c r="E22" s="18"/>
      <c r="F22" s="18"/>
    </row>
  </sheetData>
  <mergeCells count="2">
    <mergeCell ref="B2:F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FD1"/>
    <pageSetUpPr fitToPage="tru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0"/>
    <col collapsed="false" customWidth="true" hidden="false" outlineLevel="0" max="3" min="3" style="1" width="13"/>
    <col collapsed="false" customWidth="true" hidden="false" outlineLevel="0" max="6" min="4" style="1" width="16"/>
    <col collapsed="false" customWidth="true" hidden="false" outlineLevel="0" max="7" min="7" style="1" width="3"/>
  </cols>
  <sheetData>
    <row r="2" customFormat="false" ht="17.25" hidden="false" customHeight="true" outlineLevel="0" collapsed="false">
      <c r="B2" s="19" t="s">
        <v>79</v>
      </c>
      <c r="C2" s="19"/>
      <c r="D2" s="19"/>
      <c r="E2" s="19"/>
      <c r="F2" s="19"/>
    </row>
    <row r="4" customFormat="false" ht="19.5" hidden="false" customHeight="true" outlineLevel="0" collapsed="false">
      <c r="B4" s="6" t="s">
        <v>80</v>
      </c>
      <c r="C4" s="7"/>
      <c r="D4" s="7"/>
      <c r="E4" s="7"/>
      <c r="F4" s="7"/>
    </row>
    <row r="5" customFormat="false" ht="15" hidden="false" customHeight="true" outlineLevel="0" collapsed="false">
      <c r="B5" s="13" t="s">
        <v>18</v>
      </c>
      <c r="C5" s="13" t="s">
        <v>19</v>
      </c>
      <c r="D5" s="13" t="s">
        <v>81</v>
      </c>
    </row>
    <row r="6" customFormat="false" ht="15" hidden="false" customHeight="true" outlineLevel="0" collapsed="false">
      <c r="B6" s="14" t="s">
        <v>82</v>
      </c>
      <c r="C6" s="15" t="n">
        <f aca="false">'Peer Comps'!C19</f>
        <v>11.9322885915117</v>
      </c>
      <c r="D6" s="29" t="s">
        <v>83</v>
      </c>
    </row>
    <row r="7" customFormat="false" ht="15" hidden="false" customHeight="true" outlineLevel="0" collapsed="false">
      <c r="B7" s="14" t="s">
        <v>84</v>
      </c>
      <c r="C7" s="35" t="n">
        <v>16</v>
      </c>
    </row>
    <row r="8" customFormat="false" ht="15" hidden="false" customHeight="true" outlineLevel="0" collapsed="false">
      <c r="B8" s="14" t="s">
        <v>85</v>
      </c>
      <c r="C8" s="35" t="n">
        <v>21</v>
      </c>
    </row>
    <row r="10" customFormat="false" ht="27.75" hidden="false" customHeight="true" outlineLevel="0" collapsed="false">
      <c r="B10" s="18" t="s">
        <v>86</v>
      </c>
      <c r="C10" s="18"/>
      <c r="D10" s="18"/>
      <c r="E10" s="18"/>
      <c r="F10" s="18"/>
    </row>
    <row r="12" customFormat="false" ht="19.5" hidden="false" customHeight="true" outlineLevel="0" collapsed="false">
      <c r="B12" s="6" t="s">
        <v>87</v>
      </c>
      <c r="C12" s="7"/>
      <c r="D12" s="7"/>
      <c r="E12" s="7"/>
      <c r="F12" s="7"/>
    </row>
    <row r="13" customFormat="false" ht="15" hidden="false" customHeight="true" outlineLevel="0" collapsed="false">
      <c r="B13" s="4" t="s">
        <v>18</v>
      </c>
      <c r="C13" s="20" t="s">
        <v>88</v>
      </c>
      <c r="D13" s="20" t="s">
        <v>89</v>
      </c>
      <c r="E13" s="20" t="s">
        <v>90</v>
      </c>
    </row>
    <row r="14" customFormat="false" ht="15" hidden="false" customHeight="true" outlineLevel="0" collapsed="false">
      <c r="B14" s="14" t="s">
        <v>91</v>
      </c>
      <c r="C14" s="36" t="n">
        <f aca="false">'DRHP Financials'!$E$6</f>
        <v>762554</v>
      </c>
      <c r="D14" s="36" t="n">
        <f aca="false">'DRHP Financials'!$E$6</f>
        <v>762554</v>
      </c>
      <c r="E14" s="36" t="n">
        <f aca="false">'DRHP Financials'!$E$6</f>
        <v>762554</v>
      </c>
    </row>
    <row r="15" customFormat="false" ht="15" hidden="false" customHeight="true" outlineLevel="0" collapsed="false">
      <c r="B15" s="14" t="s">
        <v>92</v>
      </c>
      <c r="C15" s="37" t="n">
        <f aca="false">C14*$C$6</f>
        <v>9099014.39461159</v>
      </c>
      <c r="D15" s="37" t="n">
        <f aca="false">D14*$C$7</f>
        <v>12200864</v>
      </c>
      <c r="E15" s="37" t="n">
        <f aca="false">E14*$C$8</f>
        <v>16013634</v>
      </c>
    </row>
    <row r="16" customFormat="false" ht="15" hidden="false" customHeight="true" outlineLevel="0" collapsed="false">
      <c r="B16" s="14" t="s">
        <v>93</v>
      </c>
      <c r="C16" s="38" t="n">
        <f aca="false">C15/'DRHP Financials'!$E$27/1000</f>
        <v>95.9457414942963</v>
      </c>
      <c r="D16" s="38" t="n">
        <f aca="false">D15/'DRHP Financials'!$E$27/1000</f>
        <v>128.653598355038</v>
      </c>
      <c r="E16" s="38" t="n">
        <f aca="false">E15/'DRHP Financials'!$E$27/1000</f>
        <v>168.857847840987</v>
      </c>
    </row>
    <row r="18" customFormat="false" ht="15" hidden="false" customHeight="true" outlineLevel="0" collapsed="false">
      <c r="B18" s="14" t="s">
        <v>94</v>
      </c>
      <c r="C18" s="36" t="n">
        <f aca="false">-'DRHP Financials'!$E$13</f>
        <v>-275792</v>
      </c>
      <c r="D18" s="36" t="n">
        <f aca="false">-'DRHP Financials'!$E$13</f>
        <v>-275792</v>
      </c>
      <c r="E18" s="36" t="n">
        <f aca="false">-'DRHP Financials'!$E$13</f>
        <v>-275792</v>
      </c>
    </row>
    <row r="19" customFormat="false" ht="15" hidden="false" customHeight="true" outlineLevel="0" collapsed="false">
      <c r="B19" s="4" t="s">
        <v>95</v>
      </c>
      <c r="C19" s="37" t="n">
        <f aca="false">C15+C18</f>
        <v>8823222.39461159</v>
      </c>
      <c r="D19" s="37" t="n">
        <f aca="false">D15+D18</f>
        <v>11925072</v>
      </c>
      <c r="E19" s="37" t="n">
        <f aca="false">E15+E18</f>
        <v>15737842</v>
      </c>
    </row>
    <row r="20" customFormat="false" ht="15" hidden="false" customHeight="true" outlineLevel="0" collapsed="false">
      <c r="B20" s="14" t="s">
        <v>96</v>
      </c>
      <c r="C20" s="39" t="n">
        <f aca="false">'DRHP Financials'!$E$24</f>
        <v>8935.2066607196</v>
      </c>
      <c r="D20" s="39" t="n">
        <f aca="false">'DRHP Financials'!$E$24</f>
        <v>8935.2066607196</v>
      </c>
      <c r="E20" s="39" t="n">
        <f aca="false">'DRHP Financials'!$E$24</f>
        <v>8935.2066607196</v>
      </c>
    </row>
    <row r="21" customFormat="false" ht="15" hidden="false" customHeight="true" outlineLevel="0" collapsed="false">
      <c r="B21" s="4" t="s">
        <v>97</v>
      </c>
      <c r="C21" s="40" t="n">
        <f aca="false">C19/C20</f>
        <v>987.467075988258</v>
      </c>
      <c r="D21" s="40" t="n">
        <f aca="false">D19/D20</f>
        <v>1334.61624927202</v>
      </c>
      <c r="E21" s="40" t="n">
        <f aca="false">E19/E20</f>
        <v>1761.32937911618</v>
      </c>
    </row>
    <row r="23" customFormat="false" ht="15" hidden="false" customHeight="true" outlineLevel="0" collapsed="false">
      <c r="B23" s="14" t="s">
        <v>98</v>
      </c>
      <c r="C23" s="41" t="n">
        <f aca="false">C21*'DRHP Financials'!$E$26</f>
        <v>266616.11051683</v>
      </c>
      <c r="D23" s="41" t="n">
        <f aca="false">D21*'DRHP Financials'!$E$26</f>
        <v>360346.387303447</v>
      </c>
      <c r="E23" s="41" t="n">
        <f aca="false">E21*'DRHP Financials'!$E$26</f>
        <v>475558.932361369</v>
      </c>
    </row>
    <row r="24" customFormat="false" ht="15" hidden="false" customHeight="true" outlineLevel="0" collapsed="false">
      <c r="B24" s="14" t="s">
        <v>99</v>
      </c>
      <c r="C24" s="42" t="n">
        <f aca="false">C23/'DRHP Financials'!$E$27/1000</f>
        <v>2.81136827665766</v>
      </c>
      <c r="D24" s="42" t="n">
        <f aca="false">D23/'DRHP Financials'!$E$27/1000</f>
        <v>3.79971937895763</v>
      </c>
      <c r="E24" s="42" t="n">
        <f aca="false">E23/'DRHP Financials'!$E$27/1000</f>
        <v>5.01459305489923</v>
      </c>
    </row>
    <row r="26" customFormat="false" ht="15" hidden="false" customHeight="true" outlineLevel="0" collapsed="false">
      <c r="B26" s="4" t="s">
        <v>100</v>
      </c>
      <c r="C26" s="37" t="n">
        <f aca="false">C19+C23</f>
        <v>9089838.50512842</v>
      </c>
      <c r="D26" s="37" t="n">
        <f aca="false">D19+D23</f>
        <v>12285418.3873034</v>
      </c>
      <c r="E26" s="37" t="n">
        <f aca="false">E19+E23</f>
        <v>16213400.9323614</v>
      </c>
    </row>
    <row r="27" customFormat="false" ht="15" hidden="false" customHeight="true" outlineLevel="0" collapsed="false">
      <c r="B27" s="4" t="s">
        <v>101</v>
      </c>
      <c r="C27" s="43" t="n">
        <f aca="false">C26/'DRHP Financials'!$E$27/1000</f>
        <v>95.8489851334256</v>
      </c>
      <c r="D27" s="43" t="n">
        <f aca="false">D26/'DRHP Financials'!$E$27/1000</f>
        <v>129.545193096467</v>
      </c>
      <c r="E27" s="43" t="n">
        <f aca="false">E26/'DRHP Financials'!$E$27/1000</f>
        <v>170.964316258358</v>
      </c>
    </row>
    <row r="29" customFormat="false" ht="19.5" hidden="false" customHeight="true" outlineLevel="0" collapsed="false">
      <c r="B29" s="6" t="s">
        <v>102</v>
      </c>
      <c r="C29" s="7"/>
      <c r="D29" s="7"/>
      <c r="E29" s="7"/>
      <c r="F29" s="7"/>
    </row>
    <row r="30" customFormat="false" ht="15" hidden="false" customHeight="true" outlineLevel="0" collapsed="false">
      <c r="B30" s="14" t="s">
        <v>103</v>
      </c>
      <c r="C30" s="23" t="n">
        <f aca="false">C26/C14</f>
        <v>11.9202554902714</v>
      </c>
      <c r="D30" s="23" t="n">
        <f aca="false">D26/D14</f>
        <v>16.1108831470341</v>
      </c>
      <c r="E30" s="23" t="n">
        <f aca="false">E26/E14</f>
        <v>21.2619708667994</v>
      </c>
    </row>
    <row r="31" customFormat="false" ht="15" hidden="false" customHeight="true" outlineLevel="0" collapsed="false">
      <c r="B31" s="14" t="s">
        <v>104</v>
      </c>
      <c r="C31" s="15" t="n">
        <f aca="false">'Peer Comps'!C19</f>
        <v>11.9322885915117</v>
      </c>
      <c r="D31" s="15" t="n">
        <f aca="false">'Peer Comps'!C19</f>
        <v>11.9322885915117</v>
      </c>
      <c r="E31" s="15" t="n">
        <f aca="false">'Peer Comps'!C19</f>
        <v>11.9322885915117</v>
      </c>
    </row>
    <row r="32" customFormat="false" ht="15" hidden="false" customHeight="true" outlineLevel="0" collapsed="false">
      <c r="B32" s="14" t="s">
        <v>105</v>
      </c>
      <c r="C32" s="23" t="n">
        <f aca="false">C26/'DRHP Financials'!$E$11</f>
        <v>30.2499525946814</v>
      </c>
      <c r="D32" s="23" t="n">
        <f aca="false">D26/'DRHP Financials'!$E$11</f>
        <v>40.8844803581586</v>
      </c>
      <c r="E32" s="23" t="n">
        <f aca="false">E26/'DRHP Financials'!$E$11</f>
        <v>53.9563611967126</v>
      </c>
    </row>
    <row r="33" customFormat="false" ht="15" hidden="false" customHeight="true" outlineLevel="0" collapsed="false">
      <c r="B33" s="14" t="s">
        <v>106</v>
      </c>
      <c r="C33" s="15" t="n">
        <f aca="false">'Peer Comps'!C20</f>
        <v>35.9048186430455</v>
      </c>
      <c r="D33" s="15" t="n">
        <f aca="false">'Peer Comps'!C20</f>
        <v>35.9048186430455</v>
      </c>
      <c r="E33" s="15" t="n">
        <f aca="false">'Peer Comps'!C20</f>
        <v>35.9048186430455</v>
      </c>
    </row>
    <row r="35" customFormat="false" ht="15" hidden="false" customHeight="true" outlineLevel="0" collapsed="false">
      <c r="B35" s="29" t="s">
        <v>107</v>
      </c>
    </row>
    <row r="36" customFormat="false" ht="27.75" hidden="false" customHeight="true" outlineLevel="0" collapsed="false">
      <c r="B36" s="18" t="s">
        <v>108</v>
      </c>
      <c r="C36" s="18"/>
      <c r="D36" s="18"/>
      <c r="E36" s="18"/>
      <c r="F36" s="18"/>
    </row>
  </sheetData>
  <mergeCells count="3">
    <mergeCell ref="B2:F2"/>
    <mergeCell ref="B10:F10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2026-08-29T21:22:18Z</dcterms:created>
  <dc:creator>openpyxl</dc:creator>
  <dc:description/>
  <dc:language>en-US</dc:language>
  <cp:lastModifiedBy/>
  <dcterms:modified xsi:type="dcterms:W3CDTF">2026-08-30T08:19:50Z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