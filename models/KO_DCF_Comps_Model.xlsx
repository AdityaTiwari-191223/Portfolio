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charts/chart1.xml" ContentType="application/vnd.openxmlformats-officedocument.drawingml.chart+xml"/>
  <Override PartName="/xl/comments2.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Historicals" sheetId="2" state="visible" r:id="rId4"/>
    <sheet name="DCF Model" sheetId="3" state="visible" r:id="rId5"/>
    <sheet name="Scenarios" sheetId="4" state="visible" r:id="rId6"/>
    <sheet name="Comps" sheetId="5" state="visible" r:id="rId7"/>
  </sheets>
  <definedNames>
    <definedName function="false" hidden="false" localSheetId="4" name="_xlnm.Print_Area" vbProcedure="false">Comps!$A$1:$G$23</definedName>
    <definedName function="false" hidden="false" localSheetId="2" name="_xlnm.Print_Area" vbProcedure="false">'DCF Model'!$A$1:$H$54</definedName>
    <definedName function="false" hidden="false" localSheetId="1" name="_xlnm.Print_Area" vbProcedure="false">Historicals!$A$1:$F$34</definedName>
    <definedName function="false" hidden="false" localSheetId="3" name="_xlnm.Print_Area" vbProcedure="false">Scenarios!$A$1:$F$16</definedName>
    <definedName function="false" hidden="false" localSheetId="0" name="_xlnm.Print_Area" vbProcedure="false">Summary!$A$1:$G$62</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Source: NYSE close, Aug 21, 2026 (stockanalysis.com / TradingView)</t>
        </r>
      </text>
    </comment>
    <comment ref="B7" authorId="0">
      <text>
        <r>
          <rPr>
            <sz val="10"/>
            <rFont val="Arial"/>
            <family val="2"/>
          </rPr>
          <t xml:space="preserve">Source: Company filings / TipRanks statistics, Aug 2026</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Net Operating Revenue: 10-K Consolidated Statements of Income, each fiscal year</t>
        </r>
      </text>
    </comment>
    <comment ref="A18" authorId="0">
      <text>
        <r>
          <rPr>
            <sz val="10"/>
            <rFont val="Arial"/>
            <family val="2"/>
          </rPr>
          <t xml:space="preserve">Free Cash Flow = Cash Flow from Operations less Capital Expenditures (unlevered proxy; company also reports a non-GAAP FCF figure that differs slightly due to other adjustments)</t>
        </r>
      </text>
    </comment>
    <comment ref="A33" authorId="0">
      <text>
        <r>
          <rPr>
            <sz val="10"/>
            <rFont val="Arial"/>
            <family val="2"/>
          </rPr>
          <t xml:space="preserve">D&amp;A not separately disclosed at TTM level in the sources used; estimated at ~2.5% of revenue based on KO's historical D&amp;A/revenue ratio. Flagged as an estimate, not a reported figure.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Approx. 10-Year US Treasury yield, Aug 2026</t>
        </r>
      </text>
    </comment>
    <comment ref="B6" authorId="0">
      <text>
        <r>
          <rPr>
            <sz val="10"/>
            <rFont val="Arial"/>
            <family val="2"/>
          </rPr>
          <t xml:space="preserve">Standard long-run US equity risk premium assumption (e.g., Damodaran)</t>
        </r>
      </text>
    </comment>
    <comment ref="B7" authorId="0">
      <text>
        <r>
          <rPr>
            <sz val="10"/>
            <rFont val="Arial"/>
            <family val="2"/>
          </rPr>
          <t xml:space="preserve">Assumption: reported betas for KO vary widely across data providers (0.15-0.6+) due to KO's low correlation with the broader market as a defensive staple; 0.60 used as a representative consumer-staples beta</t>
        </r>
      </text>
    </comment>
    <comment ref="B9" authorId="0">
      <text>
        <r>
          <rPr>
            <sz val="10"/>
            <rFont val="Arial"/>
            <family val="2"/>
          </rPr>
          <t xml:space="preserve">Approximate yield on KO's long-term investment-grade bonds</t>
        </r>
      </text>
    </comment>
    <comment ref="B10" authorId="0">
      <text>
        <r>
          <rPr>
            <sz val="10"/>
            <rFont val="Arial"/>
            <family val="2"/>
          </rPr>
          <t xml:space="preserve">Company-guided underlying effective tax rate, FY2026 outlook (per Feb 2026 earnings release)</t>
        </r>
      </text>
    </comment>
    <comment ref="B35" authorId="0">
      <text>
        <r>
          <rPr>
            <sz val="10"/>
            <rFont val="Arial"/>
            <family val="2"/>
          </rPr>
          <t xml:space="preserve">Assumption: long-run terminal growth in line with expected long-term nominal GDP/inflation</t>
        </r>
      </text>
    </comment>
    <comment ref="C20" authorId="0">
      <text>
        <r>
          <rPr>
            <sz val="10"/>
            <rFont val="Arial"/>
            <family val="2"/>
          </rPr>
          <t xml:space="preserve">Assumption: decelerating from ~5% toward long-run ~4%, consistent with management's stated 4-5% organic revenue growth guidance for 2026 and typical deceleration in outer years</t>
        </r>
      </text>
    </comment>
    <comment ref="C22" authorId="0">
      <text>
        <r>
          <rPr>
            <sz val="10"/>
            <rFont val="Arial"/>
            <family val="2"/>
          </rPr>
          <t xml:space="preserve">Assumption: gradual margin expansion from FY2025's 31.4% toward ~33% by 2030, consistent with company commentary on asset-light bottling refranchising and cost discipline driving operating leverage</t>
        </r>
      </text>
    </comment>
    <comment ref="C26" authorId="0">
      <text>
        <r>
          <rPr>
            <sz val="10"/>
            <rFont val="Arial"/>
            <family val="2"/>
          </rPr>
          <t xml:space="preserve">Assumption: D&amp;A held at ~2.5% of revenue, in line with recent historical run-rate</t>
        </r>
      </text>
    </comment>
    <comment ref="C27" authorId="0">
      <text>
        <r>
          <rPr>
            <sz val="10"/>
            <rFont val="Arial"/>
            <family val="2"/>
          </rPr>
          <t xml:space="preserve">Assumption: capex held at ~4.4% of revenue, matching FY2025 actual capex/revenue ratio</t>
        </r>
      </text>
    </comment>
    <comment ref="C28" authorId="0">
      <text>
        <r>
          <rPr>
            <sz val="10"/>
            <rFont val="Arial"/>
            <family val="2"/>
          </rPr>
          <t xml:space="preserve">Assumption: incremental NWC investment of ~0.3% of revenue, reflecting KO's low working-capital intensity as a staples business</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D5" authorId="0">
      <text>
        <r>
          <rPr>
            <sz val="10"/>
            <rFont val="Arial"/>
            <family val="2"/>
          </rPr>
          <t xml:space="preserve">PepsiCo and Monster net debt not sourced to the same confidence level as KDP; EV left blank for these two rather than estimated, so EV/EBITDA is peer-average of KDP only where marked</t>
        </r>
      </text>
    </comment>
    <comment ref="F5" authorId="0">
      <text>
        <r>
          <rPr>
            <sz val="10"/>
            <rFont val="Arial"/>
            <family val="2"/>
          </rPr>
          <t xml:space="preserve">Source: FinanceCharts.com / TipRanks, Aug 2026 snapshot</t>
        </r>
      </text>
    </comment>
    <comment ref="F6" authorId="0">
      <text>
        <r>
          <rPr>
            <sz val="10"/>
            <rFont val="Arial"/>
            <family val="2"/>
          </rPr>
          <t xml:space="preserve">KDP P/E is noisy across data providers (range ~14x-31x) due to one-off items from the $18bn JDE Peet's acquisition completed Apr 2026; 22.4x used as a rough midpoint and flagged as low-confidence</t>
        </r>
      </text>
    </comment>
    <comment ref="F7" authorId="0">
      <text>
        <r>
          <rPr>
            <sz val="10"/>
            <rFont val="Arial"/>
            <family val="2"/>
          </rPr>
          <t xml:space="preserve">MNST P/E per Macrotrends, Aug 20 2026; EV/EBITDA not reliably sourced across providers within the time available and left blank rather than estimated</t>
        </r>
      </text>
    </comment>
  </commentList>
</comments>
</file>

<file path=xl/sharedStrings.xml><?xml version="1.0" encoding="utf-8"?>
<sst xmlns="http://schemas.openxmlformats.org/spreadsheetml/2006/main" count="182" uniqueCount="162">
  <si>
    <t xml:space="preserve">THE COCA-COLA COMPANY (NYSE: KO) — DCF + COMPARABLE COMPANY VALUATION</t>
  </si>
  <si>
    <t xml:space="preserve">Proof-of-work project — Private Equity / Equity Research portfolio</t>
  </si>
  <si>
    <t xml:space="preserve">All figures in USD millions unless noted. Prepared using FY2021-FY2025 10-K data and market data as of Aug 21, 2026.</t>
  </si>
  <si>
    <t xml:space="preserve">Current Share Price</t>
  </si>
  <si>
    <t xml:space="preserve">52-Week Range</t>
  </si>
  <si>
    <t xml:space="preserve">$65.35 - $91.86</t>
  </si>
  <si>
    <t xml:space="preserve">Shares Outstanding (mm)</t>
  </si>
  <si>
    <t xml:space="preserve">Market Capitalization</t>
  </si>
  <si>
    <t xml:space="preserve">Valuation Method</t>
  </si>
  <si>
    <t xml:space="preserve">Implied Value/Share</t>
  </si>
  <si>
    <t xml:space="preserve">Implied Upside/(Downside)</t>
  </si>
  <si>
    <t xml:space="preserve">DCF (Base Case)</t>
  </si>
  <si>
    <t xml:space="preserve">Comps — P/E Implied</t>
  </si>
  <si>
    <t xml:space="preserve">Comps — EV/EBITDA Implied</t>
  </si>
  <si>
    <t xml:space="preserve">Blended Fair Value (avg. of 3 methods)</t>
  </si>
  <si>
    <t xml:space="preserve">Recommendation</t>
  </si>
  <si>
    <t xml:space="preserve">KO trades near its 52-week high following a strong Q2 2026 beat (organic revenue +6%, margin expansion of ~90-120bps) and raised full-year guidance. The DCF and comps methods below should be read together with the sensitivity table on the DCF Model tab, since the conclusion is meaningfully sensitive to WACC and terminal growth assumptions. See the accompanying write-up for the full investment view.</t>
  </si>
  <si>
    <t xml:space="preserve">How to read this workbook</t>
  </si>
  <si>
    <t xml:space="preserve">Blue text</t>
  </si>
  <si>
    <t xml:space="preserve">Hardcoded input or assumption — safe to edit</t>
  </si>
  <si>
    <t xml:space="preserve">Black text</t>
  </si>
  <si>
    <t xml:space="preserve">Formula — do not overwrite</t>
  </si>
  <si>
    <t xml:space="preserve">Green text</t>
  </si>
  <si>
    <t xml:space="preserve">Link pulling from another tab</t>
  </si>
  <si>
    <t xml:space="preserve">Yellow fill</t>
  </si>
  <si>
    <t xml:space="preserve">Key scenario lever — see DCF Model!B3 to flex Bear/Base/Bull</t>
  </si>
  <si>
    <t xml:space="preserve">Tab guide</t>
  </si>
  <si>
    <t xml:space="preserve">Summary</t>
  </si>
  <si>
    <t xml:space="preserve">This page — headline output and recommendation.</t>
  </si>
  <si>
    <t xml:space="preserve">Historicals</t>
  </si>
  <si>
    <t xml:space="preserve">FY2021-FY2025 financials sourced from 10-K filings, plus TTM figures.</t>
  </si>
  <si>
    <t xml:space="preserve">DCF Model</t>
  </si>
  <si>
    <t xml:space="preserve">WACC build, 5-yr unlevered FCF, terminal value, and WACC/growth sensitivity.</t>
  </si>
  <si>
    <t xml:space="preserve">Scenarios</t>
  </si>
  <si>
    <t xml:space="preserve">Bear/Base/Bull assumption sets that drive the DCF Model tab.</t>
  </si>
  <si>
    <t xml:space="preserve">Comps</t>
  </si>
  <si>
    <t xml:space="preserve">Peer trading multiples (PepsiCo, KDP, Monster) and implied KO valuation.</t>
  </si>
  <si>
    <t xml:space="preserve">Football Field — Implied Value per Share</t>
  </si>
  <si>
    <t xml:space="preserve">Method</t>
  </si>
  <si>
    <t xml:space="preserve">Low</t>
  </si>
  <si>
    <t xml:space="preserve">High</t>
  </si>
  <si>
    <t xml:space="preserve">Span</t>
  </si>
  <si>
    <t xml:space="preserve">DCF (Sensitivity Range)</t>
  </si>
  <si>
    <t xml:space="preserve">Comps — P/E Range</t>
  </si>
  <si>
    <t xml:space="preserve">Comps — EV/EBITDA Range</t>
  </si>
  <si>
    <t xml:space="preserve">Current Price (marker)</t>
  </si>
  <si>
    <t xml:space="preserve">THE COCA-COLA COMPANY — HISTORICAL FINANCIALS (FY2021-FY2025)</t>
  </si>
  <si>
    <t xml:space="preserve">Source: Company 10-K filings (FY2021-FY2025); stockanalysis.com aggregation. $ in millions except per-share data.</t>
  </si>
  <si>
    <t xml:space="preserve">Fiscal Year</t>
  </si>
  <si>
    <t xml:space="preserve">2021</t>
  </si>
  <si>
    <t xml:space="preserve">2022</t>
  </si>
  <si>
    <t xml:space="preserve">2023</t>
  </si>
  <si>
    <t xml:space="preserve">2024</t>
  </si>
  <si>
    <t xml:space="preserve">2025</t>
  </si>
  <si>
    <t xml:space="preserve">Net Operating Revenue</t>
  </si>
  <si>
    <t xml:space="preserve">  Revenue Growth %</t>
  </si>
  <si>
    <t xml:space="preserve">n/a</t>
  </si>
  <si>
    <t xml:space="preserve">Gross Profit</t>
  </si>
  <si>
    <t xml:space="preserve">  Gross Margin %</t>
  </si>
  <si>
    <t xml:space="preserve">Operating Income</t>
  </si>
  <si>
    <t xml:space="preserve">  Operating Margin %</t>
  </si>
  <si>
    <t xml:space="preserve">Net Income (attrib. to Shareowners)</t>
  </si>
  <si>
    <t xml:space="preserve">  Net Margin %</t>
  </si>
  <si>
    <t xml:space="preserve">Diluted EPS ($)</t>
  </si>
  <si>
    <t xml:space="preserve">Cash Flow</t>
  </si>
  <si>
    <t xml:space="preserve">Cash Flow from Operations</t>
  </si>
  <si>
    <t xml:space="preserve">Capital Expenditures</t>
  </si>
  <si>
    <t xml:space="preserve">Free Cash Flow (OCF - Capex)</t>
  </si>
  <si>
    <t xml:space="preserve">Balance Sheet (selected)</t>
  </si>
  <si>
    <t xml:space="preserve">Cash &amp; Short-Term Investments</t>
  </si>
  <si>
    <t xml:space="preserve">Total Debt</t>
  </si>
  <si>
    <t xml:space="preserve">Net Debt</t>
  </si>
  <si>
    <t xml:space="preserve">Dividend per Share ($)</t>
  </si>
  <si>
    <t xml:space="preserve">TTM (period ended Jul 3, 2026)</t>
  </si>
  <si>
    <t xml:space="preserve">TTM Revenue</t>
  </si>
  <si>
    <t xml:space="preserve">TTM Operating Income</t>
  </si>
  <si>
    <t xml:space="preserve">TTM Net Income</t>
  </si>
  <si>
    <t xml:space="preserve">TTM Diluted EPS ($)</t>
  </si>
  <si>
    <t xml:space="preserve">Est. D&amp;A (assumption, ~2.5% of revenue)</t>
  </si>
  <si>
    <t xml:space="preserve">TTM EBITDA (Op. Income + Est. D&amp;A)</t>
  </si>
  <si>
    <t xml:space="preserve">THE COCA-COLA COMPANY — DISCOUNTED CASH FLOW MODEL</t>
  </si>
  <si>
    <t xml:space="preserve">$ in millions except per-share data. Explicit forecast FY2026E-FY2030E; Gordon Growth terminal value.</t>
  </si>
  <si>
    <t xml:space="preserve">Scenario (Bear / Base / Bull)</t>
  </si>
  <si>
    <t xml:space="preserve">Base</t>
  </si>
  <si>
    <t xml:space="preserve">WACC Calculation</t>
  </si>
  <si>
    <t xml:space="preserve">Risk-Free Rate (10Y UST)</t>
  </si>
  <si>
    <t xml:space="preserve">Equity Risk Premium</t>
  </si>
  <si>
    <t xml:space="preserve">Beta (Levered)</t>
  </si>
  <si>
    <t xml:space="preserve">Cost of Equity</t>
  </si>
  <si>
    <t xml:space="preserve">Pre-Tax Cost of Debt</t>
  </si>
  <si>
    <t xml:space="preserve">Tax Rate</t>
  </si>
  <si>
    <t xml:space="preserve">After-Tax Cost of Debt</t>
  </si>
  <si>
    <t xml:space="preserve">Market Value of Equity</t>
  </si>
  <si>
    <t xml:space="preserve">Market Value of Debt (book value proxy)</t>
  </si>
  <si>
    <t xml:space="preserve">Weight of Equity</t>
  </si>
  <si>
    <t xml:space="preserve">Weight of Debt</t>
  </si>
  <si>
    <t xml:space="preserve">WACC</t>
  </si>
  <si>
    <t xml:space="preserve">Revenue &amp; FCF Build</t>
  </si>
  <si>
    <t xml:space="preserve">2025A</t>
  </si>
  <si>
    <t xml:space="preserve">2026E</t>
  </si>
  <si>
    <t xml:space="preserve">2027E</t>
  </si>
  <si>
    <t xml:space="preserve">2028E</t>
  </si>
  <si>
    <t xml:space="preserve">2029E</t>
  </si>
  <si>
    <t xml:space="preserve">2030E</t>
  </si>
  <si>
    <t xml:space="preserve">Revenue Growth %</t>
  </si>
  <si>
    <t xml:space="preserve">Revenue</t>
  </si>
  <si>
    <t xml:space="preserve">EBIT Margin %</t>
  </si>
  <si>
    <t xml:space="preserve">EBIT</t>
  </si>
  <si>
    <t xml:space="preserve">Tax Rate %</t>
  </si>
  <si>
    <t xml:space="preserve">NOPAT</t>
  </si>
  <si>
    <t xml:space="preserve">(+) D&amp;A (% of revenue)</t>
  </si>
  <si>
    <t xml:space="preserve">(-) Capital Expenditures (% of revenue)</t>
  </si>
  <si>
    <t xml:space="preserve">(-) Increase in Net Working Capital</t>
  </si>
  <si>
    <t xml:space="preserve">Unlevered Free Cash Flow</t>
  </si>
  <si>
    <t xml:space="preserve">Discount Period</t>
  </si>
  <si>
    <t xml:space="preserve">Discount Factor</t>
  </si>
  <si>
    <t xml:space="preserve">PV of Unlevered FCF</t>
  </si>
  <si>
    <t xml:space="preserve">Terminal Value</t>
  </si>
  <si>
    <t xml:space="preserve">Terminal Growth Rate</t>
  </si>
  <si>
    <t xml:space="preserve">Terminal Value (Gordon Growth, undiscounted)</t>
  </si>
  <si>
    <t xml:space="preserve">PV of Terminal Value</t>
  </si>
  <si>
    <t xml:space="preserve">Valuation Bridge</t>
  </si>
  <si>
    <t xml:space="preserve">Sum of PV of Explicit FCF</t>
  </si>
  <si>
    <t xml:space="preserve">(+) PV of Terminal Value</t>
  </si>
  <si>
    <t xml:space="preserve">Enterprise Value</t>
  </si>
  <si>
    <t xml:space="preserve">(-) Net Debt</t>
  </si>
  <si>
    <t xml:space="preserve">Implied Equity Value</t>
  </si>
  <si>
    <t xml:space="preserve">Implied Value per Share</t>
  </si>
  <si>
    <t xml:space="preserve">Sensitivity: Implied Share Price (WACC vs. Terminal Growth)</t>
  </si>
  <si>
    <t xml:space="preserve">WACC \ Term. Growth</t>
  </si>
  <si>
    <t xml:space="preserve">THE COCA-COLA COMPANY — SCENARIO ASSUMPTIONS</t>
  </si>
  <si>
    <t xml:space="preserve">Bear / Base / Bull assumptions driving the DCF Model tab. Change the Scenario cell on the DCF Model tab to flex the model between cases.</t>
  </si>
  <si>
    <t xml:space="preserve">Revenue Growth % by Scenario</t>
  </si>
  <si>
    <t xml:space="preserve">Scenario</t>
  </si>
  <si>
    <t xml:space="preserve">Bear</t>
  </si>
  <si>
    <t xml:space="preserve">Bull</t>
  </si>
  <si>
    <t xml:space="preserve">EBIT Margin % by Scenario</t>
  </si>
  <si>
    <t xml:space="preserve">Basis: Base case as in the write-up (management 4-5% organic growth guide; gradual margin expansion from refranchising/cost discipline). Bear assumes category growth stalls and input-cost/FX pressure compresses margin. Bull assumes above-guide volume/pricing and faster mix-driven margin expansion.</t>
  </si>
  <si>
    <t xml:space="preserve">COMPARABLE COMPANY ANALYSIS — GLOBAL BEVERAGE PEERS</t>
  </si>
  <si>
    <t xml:space="preserve">$ in millions except per-share and multiple data. Peer market data as of Aug 2026 snapshot (see notes for source variance).</t>
  </si>
  <si>
    <t xml:space="preserve">Company</t>
  </si>
  <si>
    <t xml:space="preserve">Price</t>
  </si>
  <si>
    <t xml:space="preserve">Market Cap</t>
  </si>
  <si>
    <t xml:space="preserve">Net Debt (est.)</t>
  </si>
  <si>
    <t xml:space="preserve">P/E (TTM)</t>
  </si>
  <si>
    <t xml:space="preserve">EV/EBITDA</t>
  </si>
  <si>
    <t xml:space="preserve">PepsiCo (PEP)</t>
  </si>
  <si>
    <t xml:space="preserve">Keurig Dr Pepper (KDP)</t>
  </si>
  <si>
    <t xml:space="preserve">Monster Beverage (MNST)</t>
  </si>
  <si>
    <t xml:space="preserve">n/a*</t>
  </si>
  <si>
    <t xml:space="preserve">Peer Average P/E</t>
  </si>
  <si>
    <t xml:space="preserve">Peer Average EV/EBITDA</t>
  </si>
  <si>
    <t xml:space="preserve">Implied KO Valuation</t>
  </si>
  <si>
    <t xml:space="preserve">KO TTM EPS ($)</t>
  </si>
  <si>
    <t xml:space="preserve">KO TTM EBITDA</t>
  </si>
  <si>
    <t xml:space="preserve">KO Net Debt (FY2025)</t>
  </si>
  <si>
    <t xml:space="preserve">KO Shares Outstanding (mm)</t>
  </si>
  <si>
    <t xml:space="preserve">Implied Value</t>
  </si>
  <si>
    <t xml:space="preserve">P/E Implied Equity Value</t>
  </si>
  <si>
    <t xml:space="preserve">EV/EBITDA Implied Equity Value</t>
  </si>
  <si>
    <t xml:space="preserve">Net Debt (PepsiCo, Monster): Total debt less cash &amp; equivalents/short-term investments, per each company's Q2 FY2026 10-Q. Monster is debt-free (net cash).</t>
  </si>
  <si>
    <t xml:space="preserve">*Monster EV/EBITDA intentionally excluded from Peer Average EV/EBITDA: at ~32.8x (GuruFocus, TTM to Mar-26) it reflects a structurally higher growth/margin profile and would skew the 2-name PepsiCo/KDP average materially. Shown as n/a rather than blended in.</t>
  </si>
</sst>
</file>

<file path=xl/styles.xml><?xml version="1.0" encoding="utf-8"?>
<styleSheet xmlns="http://schemas.openxmlformats.org/spreadsheetml/2006/main">
  <numFmts count="11">
    <numFmt numFmtId="164" formatCode="General"/>
    <numFmt numFmtId="165" formatCode="\$#,##0.00;&quot;($&quot;#,##0.00\);\-"/>
    <numFmt numFmtId="166" formatCode="#,##0;\(#,##0\);\-"/>
    <numFmt numFmtId="167" formatCode="\$#,##0;&quot;($&quot;#,##0\);\-"/>
    <numFmt numFmtId="168" formatCode="0.0%"/>
    <numFmt numFmtId="169" formatCode="\$#,##0"/>
    <numFmt numFmtId="170" formatCode="0.00%"/>
    <numFmt numFmtId="171" formatCode="0.00"/>
    <numFmt numFmtId="172" formatCode="0"/>
    <numFmt numFmtId="173" formatCode="0.000"/>
    <numFmt numFmtId="174" formatCode="0.0\x"/>
  </numFmts>
  <fonts count="26">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i val="true"/>
      <sz val="9"/>
      <color rgb="FF808080"/>
      <name val="Cambria"/>
      <family val="0"/>
      <charset val="1"/>
    </font>
    <font>
      <b val="true"/>
      <sz val="11"/>
      <name val="Cambria"/>
      <family val="0"/>
      <charset val="1"/>
    </font>
    <font>
      <sz val="11"/>
      <color rgb="FF0000FF"/>
      <name val="Cambria"/>
      <family val="0"/>
      <charset val="1"/>
    </font>
    <font>
      <sz val="11"/>
      <name val="Cambria"/>
      <family val="0"/>
      <charset val="1"/>
    </font>
    <font>
      <sz val="11"/>
      <color rgb="FF000000"/>
      <name val="Cambria"/>
      <family val="0"/>
      <charset val="1"/>
    </font>
    <font>
      <b val="true"/>
      <sz val="11"/>
      <color rgb="FFFFFFFF"/>
      <name val="Cambria"/>
      <family val="0"/>
      <charset val="1"/>
    </font>
    <font>
      <sz val="11"/>
      <color rgb="FF008000"/>
      <name val="Cambria"/>
      <family val="0"/>
      <charset val="1"/>
    </font>
    <font>
      <i val="true"/>
      <sz val="11"/>
      <name val="Cambria"/>
      <family val="0"/>
      <charset val="1"/>
    </font>
    <font>
      <b val="true"/>
      <sz val="10"/>
      <color rgb="FF0000FF"/>
      <name val="Calibri"/>
      <family val="0"/>
      <charset val="1"/>
    </font>
    <font>
      <sz val="10"/>
      <name val="Calibri"/>
      <family val="0"/>
      <charset val="1"/>
    </font>
    <font>
      <b val="true"/>
      <sz val="10"/>
      <name val="Calibri"/>
      <family val="0"/>
      <charset val="1"/>
    </font>
    <font>
      <b val="true"/>
      <sz val="10"/>
      <color rgb="FF008000"/>
      <name val="Calibri"/>
      <family val="0"/>
      <charset val="1"/>
    </font>
    <font>
      <b val="true"/>
      <sz val="10"/>
      <name val="Cambria"/>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
      <b val="true"/>
      <sz val="11"/>
      <color rgb="FF0000FF"/>
      <name val="Cambria"/>
      <family val="0"/>
      <charset val="1"/>
    </font>
    <font>
      <i val="true"/>
      <sz val="10"/>
      <color rgb="FF808080"/>
      <name val="Calibri"/>
      <family val="0"/>
      <charset val="1"/>
    </font>
    <font>
      <i val="true"/>
      <sz val="11"/>
      <color rgb="FF808080"/>
      <name val="Cambria"/>
      <family val="0"/>
      <charset val="1"/>
    </font>
    <font>
      <i val="true"/>
      <sz val="9"/>
      <color rgb="FF808080"/>
      <name val="Calibri"/>
      <family val="0"/>
      <charset val="1"/>
    </font>
  </fonts>
  <fills count="5">
    <fill>
      <patternFill patternType="none"/>
    </fill>
    <fill>
      <patternFill patternType="gray125"/>
    </fill>
    <fill>
      <patternFill patternType="solid">
        <fgColor rgb="FF1F4E78"/>
        <bgColor rgb="FF003366"/>
      </patternFill>
    </fill>
    <fill>
      <patternFill patternType="solid">
        <fgColor rgb="FFFFFF00"/>
        <bgColor rgb="FFFFFF00"/>
      </patternFill>
    </fill>
    <fill>
      <patternFill patternType="solid">
        <fgColor rgb="FFD9E1F2"/>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tru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5" fontId="6" fillId="3" borderId="1" xfId="0" applyFont="true" applyBorder="true" applyAlignment="tru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9" fontId="14" fillId="0" borderId="1" xfId="0" applyFont="true" applyBorder="true" applyAlignment="tru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general" vertical="bottom" textRotation="0" wrapText="false" indent="0" shrinkToFit="false"/>
      <protection locked="true" hidden="false"/>
    </xf>
    <xf numFmtId="167" fontId="22"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1"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left"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22" fillId="3" borderId="1" xfId="0" applyFont="true" applyBorder="true" applyAlignment="true" applyProtection="false">
      <alignment horizontal="center" vertical="bottom" textRotation="0" wrapText="false" indent="0" shrinkToFit="false"/>
      <protection locked="true" hidden="false"/>
    </xf>
    <xf numFmtId="170" fontId="7" fillId="0"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70" fontId="0" fillId="0" borderId="1" xfId="0" applyFont="false" applyBorder="true" applyAlignment="tru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general" vertical="bottom" textRotation="0" wrapText="false" indent="0" shrinkToFit="false"/>
      <protection locked="true" hidden="false"/>
    </xf>
    <xf numFmtId="170" fontId="6" fillId="3"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72" fontId="0" fillId="0" borderId="1" xfId="0" applyFont="false" applyBorder="true" applyAlignment="true" applyProtection="false">
      <alignment horizontal="general" vertical="bottom" textRotation="0" wrapText="false" indent="0" shrinkToFit="false"/>
      <protection locked="true" hidden="false"/>
    </xf>
    <xf numFmtId="173" fontId="0" fillId="0" borderId="1" xfId="0" applyFont="false" applyBorder="true" applyAlignment="tru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general" vertical="bottom" textRotation="0" wrapText="false" indent="0" shrinkToFit="false"/>
      <protection locked="true" hidden="false"/>
    </xf>
    <xf numFmtId="168" fontId="10" fillId="2" borderId="1" xfId="0" applyFont="true" applyBorder="true" applyAlignment="true" applyProtection="false">
      <alignment horizontal="center" vertical="bottom" textRotation="0" wrapText="false" indent="0" shrinkToFit="false"/>
      <protection locked="true" hidden="false"/>
    </xf>
    <xf numFmtId="170" fontId="6"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4" fontId="7" fillId="0" borderId="1" xfId="0" applyFont="true" applyBorder="true" applyAlignment="tru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74" fontId="0" fillId="0" borderId="1" xfId="0" applyFont="fals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B3B3B3"/>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Football Field — Implied Value per Share ($)</a:t>
            </a:r>
          </a:p>
        </c:rich>
      </c:tx>
      <c:overlay val="0"/>
      <c:spPr>
        <a:noFill/>
        <a:ln w="0">
          <a:noFill/>
        </a:ln>
      </c:spPr>
    </c:title>
    <c:autoTitleDeleted val="0"/>
    <c:plotArea>
      <c:barChart>
        <c:barDir val="bar"/>
        <c:grouping val="stacked"/>
        <c:varyColors val="0"/>
        <c:ser>
          <c:idx val="0"/>
          <c:order val="0"/>
          <c:tx>
            <c:strRef>
              <c:f>Summary!B39</c:f>
              <c:strCache>
                <c:ptCount val="1"/>
                <c:pt idx="0">
                  <c:v>Low</c:v>
                </c:pt>
              </c:strCache>
            </c:strRef>
          </c:tx>
          <c:spPr>
            <a:noFill/>
            <a:ln w="936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Summary!$A$40:$A$43</c:f>
              <c:strCache>
                <c:ptCount val="4"/>
                <c:pt idx="0">
                  <c:v>DCF (Sensitivity Range)</c:v>
                </c:pt>
                <c:pt idx="1">
                  <c:v>Comps — P/E Range</c:v>
                </c:pt>
                <c:pt idx="2">
                  <c:v>Comps — EV/EBITDA Range</c:v>
                </c:pt>
                <c:pt idx="3">
                  <c:v>Current Price (marker)</c:v>
                </c:pt>
              </c:strCache>
            </c:strRef>
          </c:cat>
          <c:val>
            <c:numRef>
              <c:f>Summary!$B$40:$B$43</c:f>
              <c:numCache>
                <c:formatCode>\$#,##0</c:formatCode>
                <c:ptCount val="4"/>
                <c:pt idx="0">
                  <c:v>41.4128030693516</c:v>
                </c:pt>
                <c:pt idx="1">
                  <c:v>74.592</c:v>
                </c:pt>
                <c:pt idx="2">
                  <c:v>38.9649920959643</c:v>
                </c:pt>
                <c:pt idx="3">
                  <c:v>90.1</c:v>
                </c:pt>
              </c:numCache>
            </c:numRef>
          </c:val>
        </c:ser>
        <c:ser>
          <c:idx val="1"/>
          <c:order val="1"/>
          <c:tx>
            <c:strRef>
              <c:f>Summary!D39</c:f>
              <c:strCache>
                <c:ptCount val="1"/>
                <c:pt idx="0">
                  <c:v>Span</c:v>
                </c:pt>
              </c:strCache>
            </c:strRef>
          </c:tx>
          <c:spPr>
            <a:solidFill>
              <a:srgbClr val="1f4e78"/>
            </a:solidFill>
            <a:ln w="0">
              <a:solidFill>
                <a:srgbClr val="000000"/>
              </a:solidFill>
            </a:ln>
          </c:spPr>
          <c:invertIfNegative val="0"/>
          <c:dPt>
            <c:idx val="3"/>
            <c:invertIfNegative val="0"/>
            <c:spPr>
              <a:solidFill>
                <a:srgbClr val="c00000"/>
              </a:solidFill>
              <a:ln w="0">
                <a:solidFill>
                  <a:srgbClr val="000000"/>
                </a:solidFill>
              </a:ln>
            </c:spPr>
          </c:dPt>
          <c:dLbls>
            <c:dLbl>
              <c:idx val="3"/>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Summary!$A$40:$A$43</c:f>
              <c:strCache>
                <c:ptCount val="4"/>
                <c:pt idx="0">
                  <c:v>DCF (Sensitivity Range)</c:v>
                </c:pt>
                <c:pt idx="1">
                  <c:v>Comps — P/E Range</c:v>
                </c:pt>
                <c:pt idx="2">
                  <c:v>Comps — EV/EBITDA Range</c:v>
                </c:pt>
                <c:pt idx="3">
                  <c:v>Current Price (marker)</c:v>
                </c:pt>
              </c:strCache>
            </c:strRef>
          </c:cat>
          <c:val>
            <c:numRef>
              <c:f>Summary!$D$40:$D$43</c:f>
              <c:numCache>
                <c:formatCode>\$#,##0</c:formatCode>
                <c:ptCount val="4"/>
                <c:pt idx="0">
                  <c:v>75.8968506428539</c:v>
                </c:pt>
                <c:pt idx="1">
                  <c:v>65.268</c:v>
                </c:pt>
                <c:pt idx="2">
                  <c:v>2.00125825274317</c:v>
                </c:pt>
                <c:pt idx="3">
                  <c:v>2</c:v>
                </c:pt>
              </c:numCache>
            </c:numRef>
          </c:val>
        </c:ser>
        <c:gapWidth val="60"/>
        <c:overlap val="100"/>
        <c:axId val="68733578"/>
        <c:axId val="44616220"/>
      </c:barChart>
      <c:catAx>
        <c:axId val="68733578"/>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Implied Value / Share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4616220"/>
        <c:crosses val="autoZero"/>
        <c:auto val="1"/>
        <c:lblAlgn val="ctr"/>
        <c:lblOffset val="100"/>
        <c:noMultiLvlLbl val="0"/>
      </c:catAx>
      <c:valAx>
        <c:axId val="44616220"/>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873357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44</xdr:row>
      <xdr:rowOff>0</xdr:rowOff>
    </xdr:from>
    <xdr:to>
      <xdr:col>4</xdr:col>
      <xdr:colOff>699480</xdr:colOff>
      <xdr:row>59</xdr:row>
      <xdr:rowOff>21960</xdr:rowOff>
    </xdr:to>
    <xdr:graphicFrame>
      <xdr:nvGraphicFramePr>
        <xdr:cNvPr id="0" name="Chart 1"/>
        <xdr:cNvGraphicFramePr/>
      </xdr:nvGraphicFramePr>
      <xdr:xfrm>
        <a:off x="0" y="8734320"/>
        <a:ext cx="619740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7" min="2" style="1" width="16"/>
  </cols>
  <sheetData>
    <row r="1" customFormat="false" ht="17.25" hidden="false" customHeight="true" outlineLevel="0" collapsed="false">
      <c r="A1" s="2" t="s">
        <v>0</v>
      </c>
      <c r="B1" s="2"/>
      <c r="C1" s="2"/>
      <c r="D1" s="2"/>
      <c r="E1" s="2"/>
      <c r="F1" s="2"/>
      <c r="G1" s="2"/>
    </row>
    <row r="2" customFormat="false" ht="15" hidden="false" customHeight="true" outlineLevel="0" collapsed="false">
      <c r="A2" s="3" t="s">
        <v>1</v>
      </c>
    </row>
    <row r="3" customFormat="false" ht="15" hidden="false" customHeight="true" outlineLevel="0" collapsed="false">
      <c r="A3" s="3" t="s">
        <v>2</v>
      </c>
    </row>
    <row r="5" customFormat="false" ht="15" hidden="false" customHeight="true" outlineLevel="0" collapsed="false">
      <c r="A5" s="4" t="s">
        <v>3</v>
      </c>
      <c r="B5" s="5" t="n">
        <v>91.1</v>
      </c>
      <c r="C5" s="6"/>
    </row>
    <row r="6" customFormat="false" ht="15" hidden="false" customHeight="true" outlineLevel="0" collapsed="false">
      <c r="A6" s="7" t="s">
        <v>4</v>
      </c>
      <c r="B6" s="6" t="s">
        <v>5</v>
      </c>
      <c r="C6" s="6"/>
    </row>
    <row r="7" customFormat="false" ht="15" hidden="false" customHeight="true" outlineLevel="0" collapsed="false">
      <c r="A7" s="4" t="s">
        <v>6</v>
      </c>
      <c r="B7" s="8" t="n">
        <v>4301.6</v>
      </c>
      <c r="C7" s="6"/>
    </row>
    <row r="8" customFormat="false" ht="15" hidden="false" customHeight="true" outlineLevel="0" collapsed="false">
      <c r="A8" s="4" t="s">
        <v>7</v>
      </c>
      <c r="B8" s="9" t="n">
        <f aca="false">B5*B7</f>
        <v>391875.76</v>
      </c>
      <c r="C8" s="6"/>
    </row>
    <row r="9" customFormat="false" ht="15" hidden="false" customHeight="true" outlineLevel="0" collapsed="false">
      <c r="A9" s="6"/>
      <c r="B9" s="6"/>
      <c r="C9" s="6"/>
    </row>
    <row r="10" customFormat="false" ht="27.75" hidden="false" customHeight="true" outlineLevel="0" collapsed="false">
      <c r="A10" s="10" t="s">
        <v>8</v>
      </c>
      <c r="B10" s="11" t="s">
        <v>9</v>
      </c>
      <c r="C10" s="11" t="s">
        <v>10</v>
      </c>
    </row>
    <row r="11" customFormat="false" ht="15" hidden="false" customHeight="true" outlineLevel="0" collapsed="false">
      <c r="A11" s="7" t="s">
        <v>11</v>
      </c>
      <c r="B11" s="12" t="n">
        <f aca="false">'DCF Model'!B46</f>
        <v>61.8924237771366</v>
      </c>
      <c r="C11" s="13" t="n">
        <f aca="false">B11/$B$5-1</f>
        <v>-0.320610057331102</v>
      </c>
    </row>
    <row r="12" customFormat="false" ht="15" hidden="false" customHeight="true" outlineLevel="0" collapsed="false">
      <c r="A12" s="7" t="s">
        <v>12</v>
      </c>
      <c r="B12" s="12" t="n">
        <f aca="false">Comps!C19</f>
        <v>101.676</v>
      </c>
      <c r="C12" s="13" t="n">
        <f aca="false">B12/$B$5-1</f>
        <v>0.11609220636663</v>
      </c>
    </row>
    <row r="13" customFormat="false" ht="15" hidden="false" customHeight="true" outlineLevel="0" collapsed="false">
      <c r="A13" s="7" t="s">
        <v>13</v>
      </c>
      <c r="B13" s="12" t="n">
        <f aca="false">Comps!C20</f>
        <v>39.9656212223359</v>
      </c>
      <c r="C13" s="13" t="n">
        <f aca="false">B13/$B$5-1</f>
        <v>-0.561299437735062</v>
      </c>
    </row>
    <row r="14" customFormat="false" ht="15" hidden="false" customHeight="true" outlineLevel="0" collapsed="false">
      <c r="A14" s="6"/>
      <c r="B14" s="6"/>
      <c r="C14" s="6"/>
    </row>
    <row r="15" customFormat="false" ht="27.75" hidden="false" customHeight="true" outlineLevel="0" collapsed="false">
      <c r="A15" s="14" t="s">
        <v>14</v>
      </c>
      <c r="B15" s="15" t="n">
        <f aca="false">AVERAGE(B11:B13)</f>
        <v>67.8446816664908</v>
      </c>
      <c r="C15" s="16" t="n">
        <f aca="false">B15/$B$5-1</f>
        <v>-0.255272429566511</v>
      </c>
    </row>
    <row r="18" customFormat="false" ht="15" hidden="false" customHeight="true" outlineLevel="0" collapsed="false">
      <c r="A18" s="17" t="s">
        <v>15</v>
      </c>
    </row>
    <row r="19" customFormat="false" ht="15" hidden="false" customHeight="true" outlineLevel="0" collapsed="false">
      <c r="A19" s="18" t="s">
        <v>16</v>
      </c>
      <c r="B19" s="18"/>
      <c r="C19" s="18"/>
      <c r="D19" s="18"/>
      <c r="E19" s="18"/>
      <c r="F19" s="18"/>
      <c r="G19" s="18"/>
    </row>
    <row r="20" customFormat="false" ht="15" hidden="false" customHeight="true" outlineLevel="0" collapsed="false">
      <c r="A20" s="18"/>
      <c r="B20" s="18"/>
      <c r="C20" s="18"/>
      <c r="D20" s="18"/>
      <c r="E20" s="18"/>
      <c r="F20" s="18"/>
      <c r="G20" s="18"/>
    </row>
    <row r="21" customFormat="false" ht="15" hidden="false" customHeight="true" outlineLevel="0" collapsed="false">
      <c r="A21" s="18"/>
      <c r="B21" s="18"/>
      <c r="C21" s="18"/>
      <c r="D21" s="18"/>
      <c r="E21" s="18"/>
      <c r="F21" s="18"/>
      <c r="G21" s="18"/>
    </row>
    <row r="22" customFormat="false" ht="15" hidden="false" customHeight="true" outlineLevel="0" collapsed="false">
      <c r="A22" s="18"/>
      <c r="B22" s="18"/>
      <c r="C22" s="18"/>
      <c r="D22" s="18"/>
      <c r="E22" s="18"/>
      <c r="F22" s="18"/>
      <c r="G22" s="18"/>
    </row>
    <row r="23" customFormat="false" ht="15" hidden="false" customHeight="true" outlineLevel="0" collapsed="false">
      <c r="A23" s="18"/>
      <c r="B23" s="18"/>
      <c r="C23" s="18"/>
      <c r="D23" s="18"/>
      <c r="E23" s="18"/>
      <c r="F23" s="18"/>
      <c r="G23" s="18"/>
    </row>
    <row r="25" customFormat="false" ht="15" hidden="false" customHeight="true" outlineLevel="0" collapsed="false">
      <c r="A25" s="19" t="s">
        <v>17</v>
      </c>
      <c r="B25" s="20"/>
      <c r="C25" s="20"/>
      <c r="D25" s="20"/>
      <c r="E25" s="20"/>
      <c r="F25" s="20"/>
      <c r="G25" s="20"/>
    </row>
    <row r="26" customFormat="false" ht="15" hidden="false" customHeight="true" outlineLevel="0" collapsed="false">
      <c r="A26" s="21" t="s">
        <v>18</v>
      </c>
      <c r="B26" s="22" t="s">
        <v>19</v>
      </c>
      <c r="C26" s="22"/>
      <c r="D26" s="22"/>
      <c r="E26" s="22"/>
      <c r="F26" s="22"/>
      <c r="G26" s="22"/>
    </row>
    <row r="27" customFormat="false" ht="15" hidden="false" customHeight="true" outlineLevel="0" collapsed="false">
      <c r="A27" s="23" t="s">
        <v>20</v>
      </c>
      <c r="B27" s="22" t="s">
        <v>21</v>
      </c>
      <c r="C27" s="22"/>
      <c r="D27" s="22"/>
      <c r="E27" s="22"/>
      <c r="F27" s="22"/>
      <c r="G27" s="22"/>
    </row>
    <row r="28" customFormat="false" ht="15" hidden="false" customHeight="true" outlineLevel="0" collapsed="false">
      <c r="A28" s="24" t="s">
        <v>22</v>
      </c>
      <c r="B28" s="22" t="s">
        <v>23</v>
      </c>
      <c r="C28" s="22"/>
      <c r="D28" s="22"/>
      <c r="E28" s="22"/>
      <c r="F28" s="22"/>
      <c r="G28" s="22"/>
    </row>
    <row r="29" customFormat="false" ht="15" hidden="false" customHeight="true" outlineLevel="0" collapsed="false">
      <c r="A29" s="23" t="s">
        <v>24</v>
      </c>
      <c r="B29" s="22" t="s">
        <v>25</v>
      </c>
      <c r="C29" s="22"/>
      <c r="D29" s="22"/>
      <c r="E29" s="22"/>
      <c r="F29" s="22"/>
      <c r="G29" s="22"/>
    </row>
    <row r="31" customFormat="false" ht="15" hidden="false" customHeight="true" outlineLevel="0" collapsed="false">
      <c r="A31" s="19" t="s">
        <v>26</v>
      </c>
      <c r="B31" s="20"/>
      <c r="C31" s="20"/>
      <c r="D31" s="20"/>
      <c r="E31" s="20"/>
      <c r="F31" s="20"/>
      <c r="G31" s="20"/>
    </row>
    <row r="32" customFormat="false" ht="15" hidden="false" customHeight="true" outlineLevel="0" collapsed="false">
      <c r="A32" s="23" t="s">
        <v>27</v>
      </c>
      <c r="B32" s="22" t="s">
        <v>28</v>
      </c>
      <c r="C32" s="22"/>
      <c r="D32" s="22"/>
      <c r="E32" s="22"/>
      <c r="F32" s="22"/>
      <c r="G32" s="22"/>
    </row>
    <row r="33" customFormat="false" ht="15" hidden="false" customHeight="true" outlineLevel="0" collapsed="false">
      <c r="A33" s="23" t="s">
        <v>29</v>
      </c>
      <c r="B33" s="22" t="s">
        <v>30</v>
      </c>
      <c r="C33" s="22"/>
      <c r="D33" s="22"/>
      <c r="E33" s="22"/>
      <c r="F33" s="22"/>
      <c r="G33" s="22"/>
    </row>
    <row r="34" customFormat="false" ht="15" hidden="false" customHeight="true" outlineLevel="0" collapsed="false">
      <c r="A34" s="23" t="s">
        <v>31</v>
      </c>
      <c r="B34" s="22" t="s">
        <v>32</v>
      </c>
      <c r="C34" s="22"/>
      <c r="D34" s="22"/>
      <c r="E34" s="22"/>
      <c r="F34" s="22"/>
      <c r="G34" s="22"/>
    </row>
    <row r="35" customFormat="false" ht="15" hidden="false" customHeight="true" outlineLevel="0" collapsed="false">
      <c r="A35" s="23" t="s">
        <v>33</v>
      </c>
      <c r="B35" s="22" t="s">
        <v>34</v>
      </c>
      <c r="C35" s="22"/>
      <c r="D35" s="22"/>
      <c r="E35" s="22"/>
      <c r="F35" s="22"/>
      <c r="G35" s="22"/>
    </row>
    <row r="36" customFormat="false" ht="15" hidden="false" customHeight="true" outlineLevel="0" collapsed="false">
      <c r="A36" s="23" t="s">
        <v>35</v>
      </c>
      <c r="B36" s="22" t="s">
        <v>36</v>
      </c>
      <c r="C36" s="22"/>
      <c r="D36" s="22"/>
      <c r="E36" s="22"/>
      <c r="F36" s="22"/>
      <c r="G36" s="22"/>
    </row>
    <row r="38" customFormat="false" ht="15" hidden="false" customHeight="true" outlineLevel="0" collapsed="false">
      <c r="A38" s="19" t="s">
        <v>37</v>
      </c>
      <c r="B38" s="20"/>
      <c r="C38" s="20"/>
      <c r="D38" s="20"/>
    </row>
    <row r="39" customFormat="false" ht="15" hidden="false" customHeight="true" outlineLevel="0" collapsed="false">
      <c r="A39" s="25" t="s">
        <v>38</v>
      </c>
      <c r="B39" s="25" t="s">
        <v>39</v>
      </c>
      <c r="C39" s="25" t="s">
        <v>40</v>
      </c>
      <c r="D39" s="26" t="s">
        <v>41</v>
      </c>
    </row>
    <row r="40" customFormat="false" ht="15" hidden="false" customHeight="true" outlineLevel="0" collapsed="false">
      <c r="A40" s="27" t="s">
        <v>42</v>
      </c>
      <c r="B40" s="28" t="n">
        <f aca="false">MIN('DCF Model'!B50:F54)</f>
        <v>41.4128030693516</v>
      </c>
      <c r="C40" s="28" t="n">
        <f aca="false">MAX('DCF Model'!B50:F54)</f>
        <v>117.309653712206</v>
      </c>
      <c r="D40" s="29" t="n">
        <f aca="false">C40-B40</f>
        <v>75.8968506428539</v>
      </c>
    </row>
    <row r="41" customFormat="false" ht="15" hidden="false" customHeight="true" outlineLevel="0" collapsed="false">
      <c r="A41" s="27" t="s">
        <v>43</v>
      </c>
      <c r="B41" s="28" t="n">
        <f aca="false">MIN(Comps!F5:F7)*Comps!B13</f>
        <v>74.592</v>
      </c>
      <c r="C41" s="28" t="n">
        <f aca="false">MAX(Comps!F5:F7)*Comps!B13</f>
        <v>139.86</v>
      </c>
      <c r="D41" s="29" t="n">
        <f aca="false">C41-B41</f>
        <v>65.268</v>
      </c>
    </row>
    <row r="42" customFormat="false" ht="15" hidden="false" customHeight="true" outlineLevel="0" collapsed="false">
      <c r="A42" s="27" t="s">
        <v>44</v>
      </c>
      <c r="B42" s="28" t="n">
        <f aca="false">(MIN(Comps!G5:G6)*Comps!B14-Comps!B15)/Comps!B16</f>
        <v>38.9649920959643</v>
      </c>
      <c r="C42" s="28" t="n">
        <f aca="false">(MAX(Comps!G5:G6)*Comps!B14-Comps!B15)/Comps!B16</f>
        <v>40.9662503487075</v>
      </c>
      <c r="D42" s="29" t="n">
        <f aca="false">C42-B42</f>
        <v>2.00125825274317</v>
      </c>
    </row>
    <row r="43" customFormat="false" ht="15" hidden="false" customHeight="true" outlineLevel="0" collapsed="false">
      <c r="A43" s="27" t="s">
        <v>45</v>
      </c>
      <c r="B43" s="28" t="n">
        <f aca="false">B5-1</f>
        <v>90.1</v>
      </c>
      <c r="C43" s="28" t="n">
        <f aca="false">B5+1</f>
        <v>92.1</v>
      </c>
      <c r="D43" s="29" t="n">
        <f aca="false">C43-B43</f>
        <v>2</v>
      </c>
    </row>
  </sheetData>
  <mergeCells count="11">
    <mergeCell ref="A1:G1"/>
    <mergeCell ref="A19:G23"/>
    <mergeCell ref="B26:G26"/>
    <mergeCell ref="B27:G27"/>
    <mergeCell ref="B28:G28"/>
    <mergeCell ref="B29:G29"/>
    <mergeCell ref="B32:G32"/>
    <mergeCell ref="B33:G33"/>
    <mergeCell ref="B34:G34"/>
    <mergeCell ref="B35:G35"/>
    <mergeCell ref="B36:G36"/>
  </mergeCells>
  <printOptions headings="false" gridLines="false" gridLinesSet="true" horizontalCentered="false" verticalCentered="false"/>
  <pageMargins left="0.4" right="0.4" top="0.5" bottom="0.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6" min="2" style="1" width="13"/>
  </cols>
  <sheetData>
    <row r="1" customFormat="false" ht="17.25" hidden="false" customHeight="true" outlineLevel="0" collapsed="false">
      <c r="A1" s="2" t="s">
        <v>46</v>
      </c>
      <c r="B1" s="2"/>
      <c r="C1" s="2"/>
      <c r="D1" s="2"/>
      <c r="E1" s="2"/>
      <c r="F1" s="2"/>
    </row>
    <row r="2" customFormat="false" ht="15" hidden="false" customHeight="true" outlineLevel="0" collapsed="false">
      <c r="A2" s="3" t="s">
        <v>47</v>
      </c>
    </row>
    <row r="4" customFormat="false" ht="15" hidden="false" customHeight="true" outlineLevel="0" collapsed="false">
      <c r="A4" s="10" t="s">
        <v>48</v>
      </c>
      <c r="B4" s="10" t="s">
        <v>49</v>
      </c>
      <c r="C4" s="10" t="s">
        <v>50</v>
      </c>
      <c r="D4" s="10" t="s">
        <v>51</v>
      </c>
      <c r="E4" s="10" t="s">
        <v>52</v>
      </c>
      <c r="F4" s="10" t="s">
        <v>53</v>
      </c>
    </row>
    <row r="5" customFormat="false" ht="15" hidden="false" customHeight="true" outlineLevel="0" collapsed="false">
      <c r="A5" s="4" t="s">
        <v>54</v>
      </c>
      <c r="B5" s="30" t="n">
        <v>38655</v>
      </c>
      <c r="C5" s="30" t="n">
        <v>43004</v>
      </c>
      <c r="D5" s="30" t="n">
        <v>45754</v>
      </c>
      <c r="E5" s="30" t="n">
        <v>47061</v>
      </c>
      <c r="F5" s="30" t="n">
        <v>47941</v>
      </c>
    </row>
    <row r="6" customFormat="false" ht="15" hidden="false" customHeight="true" outlineLevel="0" collapsed="false">
      <c r="A6" s="31" t="s">
        <v>55</v>
      </c>
      <c r="B6" s="6" t="s">
        <v>56</v>
      </c>
      <c r="C6" s="13" t="n">
        <f aca="false">C5/B5-1</f>
        <v>0.112508084335791</v>
      </c>
      <c r="D6" s="13" t="n">
        <f aca="false">D5/C5-1</f>
        <v>0.063947539763743</v>
      </c>
      <c r="E6" s="13" t="n">
        <f aca="false">E5/D5-1</f>
        <v>0.0285658084539058</v>
      </c>
      <c r="F6" s="13" t="n">
        <f aca="false">F5/E5-1</f>
        <v>0.0186991351649985</v>
      </c>
    </row>
    <row r="7" customFormat="false" ht="15" hidden="false" customHeight="true" outlineLevel="0" collapsed="false">
      <c r="A7" s="7" t="s">
        <v>57</v>
      </c>
      <c r="B7" s="32" t="n">
        <v>23298</v>
      </c>
      <c r="C7" s="32" t="n">
        <v>25004</v>
      </c>
      <c r="D7" s="32" t="n">
        <v>27234</v>
      </c>
      <c r="E7" s="32" t="n">
        <v>28737</v>
      </c>
      <c r="F7" s="32" t="n">
        <v>29544</v>
      </c>
    </row>
    <row r="8" customFormat="false" ht="15" hidden="false" customHeight="true" outlineLevel="0" collapsed="false">
      <c r="A8" s="31" t="s">
        <v>58</v>
      </c>
      <c r="B8" s="13" t="n">
        <f aca="false">B7/B5</f>
        <v>0.602716336825766</v>
      </c>
      <c r="C8" s="13" t="n">
        <f aca="false">C7/C5</f>
        <v>0.581434285182774</v>
      </c>
      <c r="D8" s="13" t="n">
        <f aca="false">D7/D5</f>
        <v>0.595226646850549</v>
      </c>
      <c r="E8" s="13" t="n">
        <f aca="false">E7/E5</f>
        <v>0.61063300822337</v>
      </c>
      <c r="F8" s="13" t="n">
        <f aca="false">F7/F5</f>
        <v>0.61625748315638</v>
      </c>
    </row>
    <row r="9" customFormat="false" ht="15" hidden="false" customHeight="true" outlineLevel="0" collapsed="false">
      <c r="A9" s="4" t="s">
        <v>59</v>
      </c>
      <c r="B9" s="30" t="n">
        <v>11433</v>
      </c>
      <c r="C9" s="30" t="n">
        <v>12341</v>
      </c>
      <c r="D9" s="30" t="n">
        <v>13246</v>
      </c>
      <c r="E9" s="30" t="n">
        <v>14292</v>
      </c>
      <c r="F9" s="30" t="n">
        <v>15028</v>
      </c>
    </row>
    <row r="10" customFormat="false" ht="15" hidden="false" customHeight="true" outlineLevel="0" collapsed="false">
      <c r="A10" s="31" t="s">
        <v>60</v>
      </c>
      <c r="B10" s="13" t="n">
        <f aca="false">B9/B5</f>
        <v>0.295770275514164</v>
      </c>
      <c r="C10" s="13" t="n">
        <f aca="false">C9/C5</f>
        <v>0.286973304808855</v>
      </c>
      <c r="D10" s="13" t="n">
        <f aca="false">D9/D5</f>
        <v>0.289504742754732</v>
      </c>
      <c r="E10" s="13" t="n">
        <f aca="false">E9/E5</f>
        <v>0.303690954293364</v>
      </c>
      <c r="F10" s="13" t="n">
        <f aca="false">F9/F5</f>
        <v>0.313468638534866</v>
      </c>
    </row>
    <row r="11" customFormat="false" ht="15" hidden="false" customHeight="true" outlineLevel="0" collapsed="false">
      <c r="A11" s="4" t="s">
        <v>61</v>
      </c>
      <c r="B11" s="30" t="n">
        <v>9771</v>
      </c>
      <c r="C11" s="30" t="n">
        <v>9542</v>
      </c>
      <c r="D11" s="30" t="n">
        <v>10714</v>
      </c>
      <c r="E11" s="30" t="n">
        <v>10631</v>
      </c>
      <c r="F11" s="30" t="n">
        <v>13107</v>
      </c>
    </row>
    <row r="12" customFormat="false" ht="15" hidden="false" customHeight="true" outlineLevel="0" collapsed="false">
      <c r="A12" s="31" t="s">
        <v>62</v>
      </c>
      <c r="B12" s="13" t="n">
        <f aca="false">B11/B5</f>
        <v>0.252774544043461</v>
      </c>
      <c r="C12" s="13" t="n">
        <f aca="false">C11/C5</f>
        <v>0.221886336154776</v>
      </c>
      <c r="D12" s="13" t="n">
        <f aca="false">D11/D5</f>
        <v>0.234165318879224</v>
      </c>
      <c r="E12" s="13" t="n">
        <f aca="false">E11/E5</f>
        <v>0.225898302203523</v>
      </c>
      <c r="F12" s="13" t="n">
        <f aca="false">F11/F5</f>
        <v>0.273398552387309</v>
      </c>
    </row>
    <row r="13" customFormat="false" ht="15" hidden="false" customHeight="true" outlineLevel="0" collapsed="false">
      <c r="A13" s="7" t="s">
        <v>63</v>
      </c>
      <c r="B13" s="5" t="n">
        <v>2.25</v>
      </c>
      <c r="C13" s="5" t="n">
        <v>2.19</v>
      </c>
      <c r="D13" s="5" t="n">
        <v>2.47</v>
      </c>
      <c r="E13" s="5" t="n">
        <v>2.46</v>
      </c>
      <c r="F13" s="5" t="n">
        <v>3.04</v>
      </c>
    </row>
    <row r="14" customFormat="false" ht="15" hidden="false" customHeight="true" outlineLevel="0" collapsed="false">
      <c r="A14" s="6"/>
      <c r="B14" s="6"/>
      <c r="C14" s="6"/>
      <c r="D14" s="6"/>
      <c r="E14" s="6"/>
      <c r="F14" s="6"/>
    </row>
    <row r="15" customFormat="false" ht="15" hidden="false" customHeight="true" outlineLevel="0" collapsed="false">
      <c r="A15" s="33" t="s">
        <v>64</v>
      </c>
      <c r="B15" s="34"/>
      <c r="C15" s="34"/>
      <c r="D15" s="34"/>
      <c r="E15" s="34"/>
      <c r="F15" s="34"/>
    </row>
    <row r="16" customFormat="false" ht="15" hidden="false" customHeight="true" outlineLevel="0" collapsed="false">
      <c r="A16" s="7" t="s">
        <v>65</v>
      </c>
      <c r="B16" s="32" t="n">
        <v>12625</v>
      </c>
      <c r="C16" s="32" t="n">
        <v>11018</v>
      </c>
      <c r="D16" s="32" t="n">
        <v>11599</v>
      </c>
      <c r="E16" s="32" t="n">
        <v>6805</v>
      </c>
      <c r="F16" s="32" t="n">
        <v>7408</v>
      </c>
    </row>
    <row r="17" customFormat="false" ht="15" hidden="false" customHeight="true" outlineLevel="0" collapsed="false">
      <c r="A17" s="7" t="s">
        <v>66</v>
      </c>
      <c r="B17" s="32" t="n">
        <v>1367</v>
      </c>
      <c r="C17" s="32" t="n">
        <v>1484</v>
      </c>
      <c r="D17" s="32" t="n">
        <v>1852</v>
      </c>
      <c r="E17" s="32" t="n">
        <v>2064</v>
      </c>
      <c r="F17" s="32" t="n">
        <v>2112</v>
      </c>
    </row>
    <row r="18" customFormat="false" ht="15" hidden="false" customHeight="true" outlineLevel="0" collapsed="false">
      <c r="A18" s="4" t="s">
        <v>67</v>
      </c>
      <c r="B18" s="35" t="n">
        <f aca="false">B16-B17</f>
        <v>11258</v>
      </c>
      <c r="C18" s="35" t="n">
        <f aca="false">C16-C17</f>
        <v>9534</v>
      </c>
      <c r="D18" s="35" t="n">
        <f aca="false">D16-D17</f>
        <v>9747</v>
      </c>
      <c r="E18" s="35" t="n">
        <f aca="false">E16-E17</f>
        <v>4741</v>
      </c>
      <c r="F18" s="35" t="n">
        <f aca="false">F16-F17</f>
        <v>5296</v>
      </c>
    </row>
    <row r="19" customFormat="false" ht="15" hidden="false" customHeight="true" outlineLevel="0" collapsed="false">
      <c r="A19" s="6"/>
      <c r="B19" s="6"/>
      <c r="C19" s="6"/>
      <c r="D19" s="6"/>
      <c r="E19" s="6"/>
      <c r="F19" s="6"/>
    </row>
    <row r="20" customFormat="false" ht="15" hidden="false" customHeight="true" outlineLevel="0" collapsed="false">
      <c r="A20" s="33" t="s">
        <v>68</v>
      </c>
      <c r="B20" s="34"/>
      <c r="C20" s="34"/>
      <c r="D20" s="34"/>
      <c r="E20" s="34"/>
      <c r="F20" s="34"/>
    </row>
    <row r="21" customFormat="false" ht="15" hidden="false" customHeight="true" outlineLevel="0" collapsed="false">
      <c r="A21" s="7" t="s">
        <v>69</v>
      </c>
      <c r="B21" s="32" t="n">
        <v>12626</v>
      </c>
      <c r="C21" s="32" t="n">
        <v>11631</v>
      </c>
      <c r="D21" s="32" t="n">
        <v>13663</v>
      </c>
      <c r="E21" s="32" t="n">
        <v>14571</v>
      </c>
      <c r="F21" s="32" t="n">
        <v>15806</v>
      </c>
    </row>
    <row r="22" customFormat="false" ht="15" hidden="false" customHeight="true" outlineLevel="0" collapsed="false">
      <c r="A22" s="7" t="s">
        <v>70</v>
      </c>
      <c r="B22" s="32" t="n">
        <v>44246</v>
      </c>
      <c r="C22" s="32" t="n">
        <v>42279</v>
      </c>
      <c r="D22" s="32" t="n">
        <v>44539</v>
      </c>
      <c r="E22" s="32" t="n">
        <v>46657</v>
      </c>
      <c r="F22" s="32" t="n">
        <v>47914</v>
      </c>
    </row>
    <row r="23" customFormat="false" ht="15" hidden="false" customHeight="true" outlineLevel="0" collapsed="false">
      <c r="A23" s="4" t="s">
        <v>71</v>
      </c>
      <c r="B23" s="35" t="n">
        <f aca="false">B22-B21</f>
        <v>31620</v>
      </c>
      <c r="C23" s="35" t="n">
        <f aca="false">C22-C21</f>
        <v>30648</v>
      </c>
      <c r="D23" s="35" t="n">
        <f aca="false">D22-D21</f>
        <v>30876</v>
      </c>
      <c r="E23" s="35" t="n">
        <f aca="false">E22-E21</f>
        <v>32086</v>
      </c>
      <c r="F23" s="35" t="n">
        <f aca="false">F22-F21</f>
        <v>32108</v>
      </c>
    </row>
    <row r="24" customFormat="false" ht="15" hidden="false" customHeight="true" outlineLevel="0" collapsed="false">
      <c r="A24" s="6"/>
      <c r="B24" s="6"/>
      <c r="C24" s="6"/>
      <c r="D24" s="6"/>
      <c r="E24" s="6"/>
      <c r="F24" s="6"/>
    </row>
    <row r="25" customFormat="false" ht="15" hidden="false" customHeight="true" outlineLevel="0" collapsed="false">
      <c r="A25" s="7" t="s">
        <v>72</v>
      </c>
      <c r="B25" s="5" t="n">
        <v>1.68</v>
      </c>
      <c r="C25" s="5" t="n">
        <v>1.76</v>
      </c>
      <c r="D25" s="5" t="n">
        <v>1.84</v>
      </c>
      <c r="E25" s="5" t="n">
        <v>1.94</v>
      </c>
      <c r="F25" s="5" t="n">
        <v>2.04</v>
      </c>
    </row>
    <row r="26" customFormat="false" ht="15" hidden="false" customHeight="true" outlineLevel="0" collapsed="false">
      <c r="A26" s="6"/>
      <c r="B26" s="6"/>
      <c r="C26" s="6"/>
      <c r="D26" s="6"/>
      <c r="E26" s="6"/>
      <c r="F26" s="6"/>
    </row>
    <row r="27" customFormat="false" ht="15" hidden="false" customHeight="true" outlineLevel="0" collapsed="false">
      <c r="A27" s="6"/>
      <c r="B27" s="6"/>
      <c r="C27" s="6"/>
      <c r="D27" s="6"/>
      <c r="E27" s="6"/>
      <c r="F27" s="6"/>
    </row>
    <row r="28" customFormat="false" ht="15" hidden="false" customHeight="true" outlineLevel="0" collapsed="false">
      <c r="A28" s="33" t="s">
        <v>73</v>
      </c>
      <c r="B28" s="6"/>
      <c r="C28" s="6"/>
      <c r="D28" s="6"/>
      <c r="E28" s="6"/>
      <c r="F28" s="6"/>
    </row>
    <row r="29" customFormat="false" ht="15" hidden="false" customHeight="true" outlineLevel="0" collapsed="false">
      <c r="A29" s="7" t="s">
        <v>74</v>
      </c>
      <c r="B29" s="32" t="n">
        <v>50129</v>
      </c>
      <c r="C29" s="6"/>
      <c r="D29" s="6"/>
      <c r="E29" s="6"/>
      <c r="F29" s="6"/>
    </row>
    <row r="30" customFormat="false" ht="15" hidden="false" customHeight="true" outlineLevel="0" collapsed="false">
      <c r="A30" s="7" t="s">
        <v>75</v>
      </c>
      <c r="B30" s="32" t="n">
        <v>15964</v>
      </c>
      <c r="C30" s="6"/>
      <c r="D30" s="6"/>
      <c r="E30" s="6"/>
      <c r="F30" s="6"/>
    </row>
    <row r="31" customFormat="false" ht="15" hidden="false" customHeight="true" outlineLevel="0" collapsed="false">
      <c r="A31" s="7" t="s">
        <v>76</v>
      </c>
      <c r="B31" s="32" t="n">
        <v>14316</v>
      </c>
      <c r="C31" s="6"/>
      <c r="D31" s="6"/>
      <c r="E31" s="6"/>
      <c r="F31" s="6"/>
    </row>
    <row r="32" customFormat="false" ht="15" hidden="false" customHeight="true" outlineLevel="0" collapsed="false">
      <c r="A32" s="7" t="s">
        <v>77</v>
      </c>
      <c r="B32" s="5" t="n">
        <v>3.33</v>
      </c>
      <c r="C32" s="6"/>
      <c r="D32" s="6"/>
      <c r="E32" s="6"/>
      <c r="F32" s="6"/>
    </row>
    <row r="33" customFormat="false" ht="15" hidden="false" customHeight="true" outlineLevel="0" collapsed="false">
      <c r="A33" s="7" t="s">
        <v>78</v>
      </c>
      <c r="B33" s="36" t="n">
        <f aca="false">B29*0.025</f>
        <v>1253.225</v>
      </c>
      <c r="C33" s="6"/>
      <c r="D33" s="6"/>
      <c r="E33" s="6"/>
      <c r="F33" s="6"/>
    </row>
    <row r="34" customFormat="false" ht="15" hidden="false" customHeight="true" outlineLevel="0" collapsed="false">
      <c r="A34" s="4" t="s">
        <v>79</v>
      </c>
      <c r="B34" s="35" t="n">
        <f aca="false">B30+B33</f>
        <v>17217.225</v>
      </c>
      <c r="C34" s="6"/>
      <c r="D34" s="6"/>
      <c r="E34" s="6"/>
      <c r="F34" s="6"/>
    </row>
  </sheetData>
  <mergeCells count="1">
    <mergeCell ref="A1:F1"/>
  </mergeCells>
  <printOptions headings="false" gridLines="false" gridLinesSet="true" horizontalCentered="false" verticalCentered="false"/>
  <pageMargins left="0.4" right="0.4" top="0.5" bottom="0.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8" min="2" style="1" width="13"/>
  </cols>
  <sheetData>
    <row r="1" customFormat="false" ht="17.25" hidden="false" customHeight="true" outlineLevel="0" collapsed="false">
      <c r="A1" s="2" t="s">
        <v>80</v>
      </c>
      <c r="B1" s="2"/>
      <c r="C1" s="2"/>
      <c r="D1" s="2"/>
      <c r="E1" s="2"/>
      <c r="F1" s="2"/>
      <c r="G1" s="2"/>
      <c r="H1" s="2"/>
    </row>
    <row r="2" customFormat="false" ht="15" hidden="false" customHeight="true" outlineLevel="0" collapsed="false">
      <c r="A2" s="3" t="s">
        <v>81</v>
      </c>
    </row>
    <row r="3" customFormat="false" ht="15" hidden="false" customHeight="true" outlineLevel="0" collapsed="false">
      <c r="A3" s="37" t="s">
        <v>82</v>
      </c>
      <c r="B3" s="38" t="s">
        <v>83</v>
      </c>
    </row>
    <row r="4" customFormat="false" ht="15" hidden="false" customHeight="true" outlineLevel="0" collapsed="false">
      <c r="A4" s="33" t="s">
        <v>84</v>
      </c>
      <c r="B4" s="34"/>
      <c r="C4" s="34"/>
      <c r="D4" s="6"/>
      <c r="E4" s="6"/>
      <c r="F4" s="6"/>
      <c r="G4" s="6"/>
    </row>
    <row r="5" customFormat="false" ht="15" hidden="false" customHeight="true" outlineLevel="0" collapsed="false">
      <c r="A5" s="7" t="s">
        <v>85</v>
      </c>
      <c r="B5" s="39" t="n">
        <v>0.043</v>
      </c>
      <c r="C5" s="6"/>
      <c r="D5" s="6"/>
      <c r="E5" s="6"/>
      <c r="F5" s="6"/>
      <c r="G5" s="6"/>
    </row>
    <row r="6" customFormat="false" ht="15" hidden="false" customHeight="true" outlineLevel="0" collapsed="false">
      <c r="A6" s="7" t="s">
        <v>86</v>
      </c>
      <c r="B6" s="39" t="n">
        <v>0.05</v>
      </c>
      <c r="C6" s="6"/>
      <c r="D6" s="6"/>
      <c r="E6" s="6"/>
      <c r="F6" s="6"/>
      <c r="G6" s="6"/>
    </row>
    <row r="7" customFormat="false" ht="15" hidden="false" customHeight="true" outlineLevel="0" collapsed="false">
      <c r="A7" s="7" t="s">
        <v>87</v>
      </c>
      <c r="B7" s="40" t="n">
        <v>0.6</v>
      </c>
      <c r="C7" s="6"/>
      <c r="D7" s="6"/>
      <c r="E7" s="6"/>
      <c r="F7" s="6"/>
      <c r="G7" s="6"/>
    </row>
    <row r="8" customFormat="false" ht="15" hidden="false" customHeight="true" outlineLevel="0" collapsed="false">
      <c r="A8" s="7" t="s">
        <v>88</v>
      </c>
      <c r="B8" s="41" t="n">
        <f aca="false">B5+B7*B6</f>
        <v>0.073</v>
      </c>
      <c r="C8" s="6"/>
      <c r="D8" s="6"/>
      <c r="E8" s="6"/>
      <c r="F8" s="6"/>
      <c r="G8" s="6"/>
    </row>
    <row r="9" customFormat="false" ht="15" hidden="false" customHeight="true" outlineLevel="0" collapsed="false">
      <c r="A9" s="7" t="s">
        <v>89</v>
      </c>
      <c r="B9" s="39" t="n">
        <v>0.038</v>
      </c>
      <c r="C9" s="6"/>
      <c r="D9" s="6"/>
      <c r="E9" s="6"/>
      <c r="F9" s="6"/>
      <c r="G9" s="6"/>
    </row>
    <row r="10" customFormat="false" ht="15" hidden="false" customHeight="true" outlineLevel="0" collapsed="false">
      <c r="A10" s="7" t="s">
        <v>90</v>
      </c>
      <c r="B10" s="39" t="n">
        <v>0.209</v>
      </c>
      <c r="C10" s="6"/>
      <c r="D10" s="6"/>
      <c r="E10" s="6"/>
      <c r="F10" s="6"/>
      <c r="G10" s="6"/>
    </row>
    <row r="11" customFormat="false" ht="15" hidden="false" customHeight="true" outlineLevel="0" collapsed="false">
      <c r="A11" s="7" t="s">
        <v>91</v>
      </c>
      <c r="B11" s="41" t="n">
        <f aca="false">B9*(1-B10)</f>
        <v>0.030058</v>
      </c>
      <c r="C11" s="6"/>
      <c r="D11" s="6"/>
      <c r="E11" s="6"/>
      <c r="F11" s="6"/>
      <c r="G11" s="6"/>
    </row>
    <row r="12" customFormat="false" ht="15" hidden="false" customHeight="true" outlineLevel="0" collapsed="false">
      <c r="A12" s="7" t="s">
        <v>92</v>
      </c>
      <c r="B12" s="42" t="n">
        <f aca="false">Summary!B8</f>
        <v>391875.76</v>
      </c>
      <c r="C12" s="6"/>
      <c r="D12" s="6"/>
      <c r="E12" s="6"/>
      <c r="F12" s="6"/>
      <c r="G12" s="6"/>
    </row>
    <row r="13" customFormat="false" ht="15" hidden="false" customHeight="true" outlineLevel="0" collapsed="false">
      <c r="A13" s="7" t="s">
        <v>93</v>
      </c>
      <c r="B13" s="42" t="n">
        <f aca="false">Historicals!F22</f>
        <v>47914</v>
      </c>
      <c r="C13" s="6"/>
      <c r="D13" s="6"/>
      <c r="E13" s="6"/>
      <c r="F13" s="6"/>
      <c r="G13" s="6"/>
    </row>
    <row r="14" customFormat="false" ht="15" hidden="false" customHeight="true" outlineLevel="0" collapsed="false">
      <c r="A14" s="7" t="s">
        <v>94</v>
      </c>
      <c r="B14" s="13" t="n">
        <f aca="false">B12/(B12+B13)</f>
        <v>0.891052488352617</v>
      </c>
      <c r="C14" s="6"/>
      <c r="D14" s="6"/>
      <c r="E14" s="6"/>
      <c r="F14" s="6"/>
      <c r="G14" s="6"/>
    </row>
    <row r="15" customFormat="false" ht="15" hidden="false" customHeight="true" outlineLevel="0" collapsed="false">
      <c r="A15" s="7" t="s">
        <v>95</v>
      </c>
      <c r="B15" s="13" t="n">
        <f aca="false">B13/(B12+B13)</f>
        <v>0.108947511647384</v>
      </c>
      <c r="C15" s="6"/>
      <c r="D15" s="6"/>
      <c r="E15" s="6"/>
      <c r="F15" s="6"/>
      <c r="G15" s="6"/>
    </row>
    <row r="16" customFormat="false" ht="15" hidden="false" customHeight="true" outlineLevel="0" collapsed="false">
      <c r="A16" s="4" t="s">
        <v>96</v>
      </c>
      <c r="B16" s="43" t="n">
        <f aca="false">B14*B8+B15*B11</f>
        <v>0.0683215759548381</v>
      </c>
      <c r="C16" s="6"/>
      <c r="D16" s="6"/>
      <c r="E16" s="6"/>
      <c r="F16" s="6"/>
      <c r="G16" s="6"/>
    </row>
    <row r="17" customFormat="false" ht="15" hidden="false" customHeight="true" outlineLevel="0" collapsed="false">
      <c r="A17" s="6"/>
      <c r="B17" s="6"/>
      <c r="C17" s="6"/>
      <c r="D17" s="6"/>
      <c r="E17" s="6"/>
      <c r="F17" s="6"/>
      <c r="G17" s="6"/>
    </row>
    <row r="18" customFormat="false" ht="15" hidden="false" customHeight="true" outlineLevel="0" collapsed="false">
      <c r="A18" s="33" t="s">
        <v>97</v>
      </c>
      <c r="B18" s="34"/>
      <c r="C18" s="34"/>
      <c r="D18" s="34"/>
      <c r="E18" s="34"/>
      <c r="F18" s="34"/>
      <c r="G18" s="34"/>
    </row>
    <row r="19" customFormat="false" ht="15" hidden="false" customHeight="true" outlineLevel="0" collapsed="false">
      <c r="A19" s="10" t="s">
        <v>48</v>
      </c>
      <c r="B19" s="10" t="s">
        <v>98</v>
      </c>
      <c r="C19" s="10" t="s">
        <v>99</v>
      </c>
      <c r="D19" s="10" t="s">
        <v>100</v>
      </c>
      <c r="E19" s="10" t="s">
        <v>101</v>
      </c>
      <c r="F19" s="10" t="s">
        <v>102</v>
      </c>
      <c r="G19" s="10" t="s">
        <v>103</v>
      </c>
    </row>
    <row r="20" customFormat="false" ht="15" hidden="false" customHeight="true" outlineLevel="0" collapsed="false">
      <c r="A20" s="7" t="s">
        <v>104</v>
      </c>
      <c r="B20" s="6"/>
      <c r="C20" s="44" t="n">
        <f aca="false">INDEX(Scenarios!$B$6:$B$8,MATCH($B$3,Scenarios!$A$6:$A$8,0))</f>
        <v>0.05</v>
      </c>
      <c r="D20" s="44" t="n">
        <f aca="false">INDEX(Scenarios!$C$6:$C$8,MATCH($B$3,Scenarios!$A$6:$A$8,0))</f>
        <v>0.048</v>
      </c>
      <c r="E20" s="44" t="n">
        <f aca="false">INDEX(Scenarios!$D$6:$D$8,MATCH($B$3,Scenarios!$A$6:$A$8,0))</f>
        <v>0.045</v>
      </c>
      <c r="F20" s="44" t="n">
        <f aca="false">INDEX(Scenarios!$E$6:$E$8,MATCH($B$3,Scenarios!$A$6:$A$8,0))</f>
        <v>0.042</v>
      </c>
      <c r="G20" s="44" t="n">
        <f aca="false">INDEX(Scenarios!$F$6:$F$8,MATCH($B$3,Scenarios!$A$6:$A$8,0))</f>
        <v>0.04</v>
      </c>
    </row>
    <row r="21" customFormat="false" ht="15" hidden="false" customHeight="true" outlineLevel="0" collapsed="false">
      <c r="A21" s="4" t="s">
        <v>105</v>
      </c>
      <c r="B21" s="42" t="n">
        <f aca="false">Historicals!F5</f>
        <v>47941</v>
      </c>
      <c r="C21" s="35" t="n">
        <f aca="false">B21*(1+C20)</f>
        <v>50338.05</v>
      </c>
      <c r="D21" s="35" t="n">
        <f aca="false">C21*(1+D20)</f>
        <v>52754.2764</v>
      </c>
      <c r="E21" s="35" t="n">
        <f aca="false">D21*(1+E20)</f>
        <v>55128.218838</v>
      </c>
      <c r="F21" s="35" t="n">
        <f aca="false">E21*(1+F20)</f>
        <v>57443.604029196</v>
      </c>
      <c r="G21" s="35" t="n">
        <f aca="false">F21*(1+G20)</f>
        <v>59741.3481903638</v>
      </c>
    </row>
    <row r="22" customFormat="false" ht="15" hidden="false" customHeight="true" outlineLevel="0" collapsed="false">
      <c r="A22" s="7" t="s">
        <v>106</v>
      </c>
      <c r="B22" s="6"/>
      <c r="C22" s="44" t="n">
        <f aca="false">INDEX(Scenarios!$B$12:$B$14,MATCH($B$3,Scenarios!$A$6:$A$8,0))</f>
        <v>0.318</v>
      </c>
      <c r="D22" s="44" t="n">
        <f aca="false">INDEX(Scenarios!$C$12:$C$14,MATCH($B$3,Scenarios!$A$6:$A$8,0))</f>
        <v>0.322</v>
      </c>
      <c r="E22" s="44" t="n">
        <f aca="false">INDEX(Scenarios!$D$12:$D$14,MATCH($B$3,Scenarios!$A$6:$A$8,0))</f>
        <v>0.326</v>
      </c>
      <c r="F22" s="44" t="n">
        <f aca="false">INDEX(Scenarios!$E$12:$E$14,MATCH($B$3,Scenarios!$A$6:$A$8,0))</f>
        <v>0.33</v>
      </c>
      <c r="G22" s="44" t="n">
        <f aca="false">INDEX(Scenarios!$F$12:$F$14,MATCH($B$3,Scenarios!$A$6:$A$8,0))</f>
        <v>0.333</v>
      </c>
    </row>
    <row r="23" customFormat="false" ht="15" hidden="false" customHeight="true" outlineLevel="0" collapsed="false">
      <c r="A23" s="7" t="s">
        <v>107</v>
      </c>
      <c r="B23" s="42" t="n">
        <f aca="false">Historicals!F9</f>
        <v>15028</v>
      </c>
      <c r="C23" s="36" t="n">
        <f aca="false">C21*C22</f>
        <v>16007.4999</v>
      </c>
      <c r="D23" s="36" t="n">
        <f aca="false">D21*D22</f>
        <v>16986.8770008</v>
      </c>
      <c r="E23" s="36" t="n">
        <f aca="false">E21*E22</f>
        <v>17971.799341188</v>
      </c>
      <c r="F23" s="36" t="n">
        <f aca="false">F21*F22</f>
        <v>18956.3893296347</v>
      </c>
      <c r="G23" s="36" t="n">
        <f aca="false">G21*G22</f>
        <v>19893.8689473912</v>
      </c>
    </row>
    <row r="24" customFormat="false" ht="15" hidden="false" customHeight="true" outlineLevel="0" collapsed="false">
      <c r="A24" s="7" t="s">
        <v>108</v>
      </c>
      <c r="B24" s="6"/>
      <c r="C24" s="13" t="n">
        <f aca="false">$B$10</f>
        <v>0.209</v>
      </c>
      <c r="D24" s="13" t="n">
        <f aca="false">$B$10</f>
        <v>0.209</v>
      </c>
      <c r="E24" s="13" t="n">
        <f aca="false">$B$10</f>
        <v>0.209</v>
      </c>
      <c r="F24" s="13" t="n">
        <f aca="false">$B$10</f>
        <v>0.209</v>
      </c>
      <c r="G24" s="13" t="n">
        <f aca="false">$B$10</f>
        <v>0.209</v>
      </c>
    </row>
    <row r="25" customFormat="false" ht="15" hidden="false" customHeight="true" outlineLevel="0" collapsed="false">
      <c r="A25" s="7" t="s">
        <v>109</v>
      </c>
      <c r="B25" s="6"/>
      <c r="C25" s="36" t="n">
        <f aca="false">C23*(1-C24)</f>
        <v>12661.9324209</v>
      </c>
      <c r="D25" s="36" t="n">
        <f aca="false">D23*(1-D24)</f>
        <v>13436.6197076328</v>
      </c>
      <c r="E25" s="36" t="n">
        <f aca="false">E23*(1-E24)</f>
        <v>14215.6932788797</v>
      </c>
      <c r="F25" s="36" t="n">
        <f aca="false">F23*(1-F24)</f>
        <v>14994.503959741</v>
      </c>
      <c r="G25" s="36" t="n">
        <f aca="false">G23*(1-G24)</f>
        <v>15736.0503373864</v>
      </c>
    </row>
    <row r="26" customFormat="false" ht="15" hidden="false" customHeight="true" outlineLevel="0" collapsed="false">
      <c r="A26" s="7" t="s">
        <v>110</v>
      </c>
      <c r="B26" s="6"/>
      <c r="C26" s="36" t="n">
        <f aca="false">C21*0.025</f>
        <v>1258.45125</v>
      </c>
      <c r="D26" s="36" t="n">
        <f aca="false">D21*0.025</f>
        <v>1318.85691</v>
      </c>
      <c r="E26" s="36" t="n">
        <f aca="false">E21*0.025</f>
        <v>1378.20547095</v>
      </c>
      <c r="F26" s="36" t="n">
        <f aca="false">F21*0.025</f>
        <v>1436.0901007299</v>
      </c>
      <c r="G26" s="36" t="n">
        <f aca="false">G21*0.025</f>
        <v>1493.5337047591</v>
      </c>
    </row>
    <row r="27" customFormat="false" ht="15" hidden="false" customHeight="true" outlineLevel="0" collapsed="false">
      <c r="A27" s="7" t="s">
        <v>111</v>
      </c>
      <c r="B27" s="6"/>
      <c r="C27" s="36" t="n">
        <f aca="false">C21*0.044</f>
        <v>2214.8742</v>
      </c>
      <c r="D27" s="36" t="n">
        <f aca="false">D21*0.044</f>
        <v>2321.1881616</v>
      </c>
      <c r="E27" s="36" t="n">
        <f aca="false">E21*0.044</f>
        <v>2425.641628872</v>
      </c>
      <c r="F27" s="36" t="n">
        <f aca="false">F21*0.044</f>
        <v>2527.51857728462</v>
      </c>
      <c r="G27" s="36" t="n">
        <f aca="false">G21*0.044</f>
        <v>2628.61932037601</v>
      </c>
    </row>
    <row r="28" customFormat="false" ht="15" hidden="false" customHeight="true" outlineLevel="0" collapsed="false">
      <c r="A28" s="7" t="s">
        <v>112</v>
      </c>
      <c r="B28" s="6"/>
      <c r="C28" s="36" t="n">
        <f aca="false">C21*0.003</f>
        <v>151.01415</v>
      </c>
      <c r="D28" s="36" t="n">
        <f aca="false">D21*0.003</f>
        <v>158.2628292</v>
      </c>
      <c r="E28" s="36" t="n">
        <f aca="false">E21*0.003</f>
        <v>165.384656514</v>
      </c>
      <c r="F28" s="36" t="n">
        <f aca="false">F21*0.003</f>
        <v>172.330812087588</v>
      </c>
      <c r="G28" s="36" t="n">
        <f aca="false">G21*0.003</f>
        <v>179.224044571092</v>
      </c>
    </row>
    <row r="29" customFormat="false" ht="15" hidden="false" customHeight="true" outlineLevel="0" collapsed="false">
      <c r="A29" s="4" t="s">
        <v>113</v>
      </c>
      <c r="B29" s="6"/>
      <c r="C29" s="35" t="n">
        <f aca="false">C25+C26-C27-C28</f>
        <v>11554.4953209</v>
      </c>
      <c r="D29" s="35" t="n">
        <f aca="false">D25+D26-D27-D28</f>
        <v>12276.0256268328</v>
      </c>
      <c r="E29" s="35" t="n">
        <f aca="false">E25+E26-E27-E28</f>
        <v>13002.8724644437</v>
      </c>
      <c r="F29" s="35" t="n">
        <f aca="false">F25+F26-F27-F28</f>
        <v>13730.7446710987</v>
      </c>
      <c r="G29" s="35" t="n">
        <f aca="false">G25+G26-G27-G28</f>
        <v>14421.7406771984</v>
      </c>
    </row>
    <row r="30" customFormat="false" ht="15" hidden="false" customHeight="true" outlineLevel="0" collapsed="false">
      <c r="A30" s="7" t="s">
        <v>114</v>
      </c>
      <c r="B30" s="6"/>
      <c r="C30" s="45" t="n">
        <v>1</v>
      </c>
      <c r="D30" s="45" t="n">
        <v>2</v>
      </c>
      <c r="E30" s="45" t="n">
        <v>3</v>
      </c>
      <c r="F30" s="45" t="n">
        <v>4</v>
      </c>
      <c r="G30" s="45" t="n">
        <v>5</v>
      </c>
    </row>
    <row r="31" customFormat="false" ht="15" hidden="false" customHeight="true" outlineLevel="0" collapsed="false">
      <c r="A31" s="7" t="s">
        <v>115</v>
      </c>
      <c r="B31" s="6"/>
      <c r="C31" s="46" t="n">
        <f aca="false">1/(1+$B$16)^C30</f>
        <v>0.936047743027399</v>
      </c>
      <c r="D31" s="46" t="n">
        <f aca="false">1/(1+$B$16)^D30</f>
        <v>0.876185377226687</v>
      </c>
      <c r="E31" s="46" t="n">
        <f aca="false">1/(1+$B$16)^E30</f>
        <v>0.820151344826651</v>
      </c>
      <c r="F31" s="46" t="n">
        <f aca="false">1/(1+$B$16)^F30</f>
        <v>0.767700815265872</v>
      </c>
      <c r="G31" s="46" t="n">
        <f aca="false">1/(1+$B$16)^G30</f>
        <v>0.718604615449914</v>
      </c>
    </row>
    <row r="32" customFormat="false" ht="15" hidden="false" customHeight="true" outlineLevel="0" collapsed="false">
      <c r="A32" s="4" t="s">
        <v>116</v>
      </c>
      <c r="B32" s="6"/>
      <c r="C32" s="35" t="n">
        <f aca="false">C29*C31</f>
        <v>10815.5592669491</v>
      </c>
      <c r="D32" s="35" t="n">
        <f aca="false">D29*D31</f>
        <v>10756.074144691</v>
      </c>
      <c r="E32" s="35" t="n">
        <f aca="false">E29*E31</f>
        <v>10664.3233383229</v>
      </c>
      <c r="F32" s="35" t="n">
        <f aca="false">F29*F31</f>
        <v>10541.10387821</v>
      </c>
      <c r="G32" s="35" t="n">
        <f aca="false">G29*G31</f>
        <v>10363.5294134565</v>
      </c>
    </row>
    <row r="33" customFormat="false" ht="15" hidden="false" customHeight="true" outlineLevel="0" collapsed="false">
      <c r="A33" s="6"/>
      <c r="B33" s="6"/>
      <c r="C33" s="6"/>
      <c r="D33" s="6"/>
      <c r="E33" s="6"/>
      <c r="F33" s="6"/>
      <c r="G33" s="6"/>
    </row>
    <row r="34" customFormat="false" ht="15" hidden="false" customHeight="true" outlineLevel="0" collapsed="false">
      <c r="A34" s="33" t="s">
        <v>117</v>
      </c>
      <c r="B34" s="34"/>
      <c r="C34" s="34"/>
      <c r="D34" s="6"/>
      <c r="E34" s="6"/>
      <c r="F34" s="6"/>
      <c r="G34" s="6"/>
    </row>
    <row r="35" customFormat="false" ht="15" hidden="false" customHeight="true" outlineLevel="0" collapsed="false">
      <c r="A35" s="7" t="s">
        <v>118</v>
      </c>
      <c r="B35" s="39" t="n">
        <v>0.025</v>
      </c>
      <c r="C35" s="6"/>
      <c r="D35" s="6"/>
      <c r="E35" s="6"/>
      <c r="F35" s="6"/>
      <c r="G35" s="6"/>
    </row>
    <row r="36" customFormat="false" ht="15" hidden="false" customHeight="true" outlineLevel="0" collapsed="false">
      <c r="A36" s="7" t="s">
        <v>119</v>
      </c>
      <c r="B36" s="36" t="n">
        <f aca="false">G29*(1+B35)/(B16-B35)</f>
        <v>341222.217066587</v>
      </c>
      <c r="C36" s="6"/>
      <c r="D36" s="6"/>
      <c r="E36" s="6"/>
      <c r="F36" s="6"/>
      <c r="G36" s="6"/>
    </row>
    <row r="37" customFormat="false" ht="15" hidden="false" customHeight="true" outlineLevel="0" collapsed="false">
      <c r="A37" s="7" t="s">
        <v>120</v>
      </c>
      <c r="B37" s="36" t="n">
        <f aca="false">B36*G31</f>
        <v>245203.860078101</v>
      </c>
      <c r="C37" s="6"/>
      <c r="D37" s="6"/>
      <c r="E37" s="6"/>
      <c r="F37" s="6"/>
      <c r="G37" s="6"/>
    </row>
    <row r="38" customFormat="false" ht="15" hidden="false" customHeight="true" outlineLevel="0" collapsed="false">
      <c r="A38" s="6"/>
      <c r="B38" s="6"/>
      <c r="C38" s="6"/>
      <c r="D38" s="6"/>
      <c r="E38" s="6"/>
      <c r="F38" s="6"/>
      <c r="G38" s="6"/>
    </row>
    <row r="39" customFormat="false" ht="15" hidden="false" customHeight="true" outlineLevel="0" collapsed="false">
      <c r="A39" s="33" t="s">
        <v>121</v>
      </c>
      <c r="B39" s="34"/>
      <c r="C39" s="34"/>
      <c r="D39" s="6"/>
      <c r="E39" s="6"/>
      <c r="F39" s="6"/>
      <c r="G39" s="6"/>
    </row>
    <row r="40" customFormat="false" ht="15" hidden="false" customHeight="true" outlineLevel="0" collapsed="false">
      <c r="A40" s="7" t="s">
        <v>122</v>
      </c>
      <c r="B40" s="36" t="n">
        <f aca="false">SUM(C32:G32)</f>
        <v>53140.5900416296</v>
      </c>
      <c r="C40" s="6"/>
      <c r="D40" s="6"/>
      <c r="E40" s="6"/>
      <c r="F40" s="6"/>
      <c r="G40" s="6"/>
    </row>
    <row r="41" customFormat="false" ht="15" hidden="false" customHeight="true" outlineLevel="0" collapsed="false">
      <c r="A41" s="7" t="s">
        <v>123</v>
      </c>
      <c r="B41" s="36" t="n">
        <f aca="false">B37</f>
        <v>245203.860078101</v>
      </c>
      <c r="C41" s="6"/>
      <c r="D41" s="6"/>
      <c r="E41" s="6"/>
      <c r="F41" s="6"/>
      <c r="G41" s="6"/>
    </row>
    <row r="42" customFormat="false" ht="15" hidden="false" customHeight="true" outlineLevel="0" collapsed="false">
      <c r="A42" s="4" t="s">
        <v>124</v>
      </c>
      <c r="B42" s="35" t="n">
        <f aca="false">B40+B37</f>
        <v>298344.450119731</v>
      </c>
      <c r="C42" s="6"/>
      <c r="D42" s="6"/>
      <c r="E42" s="6"/>
      <c r="F42" s="6"/>
      <c r="G42" s="6"/>
    </row>
    <row r="43" customFormat="false" ht="15" hidden="false" customHeight="true" outlineLevel="0" collapsed="false">
      <c r="A43" s="7" t="s">
        <v>125</v>
      </c>
      <c r="B43" s="42" t="n">
        <f aca="false">Historicals!F23</f>
        <v>32108</v>
      </c>
      <c r="C43" s="6"/>
      <c r="D43" s="6"/>
      <c r="E43" s="6"/>
      <c r="F43" s="6"/>
      <c r="G43" s="6"/>
    </row>
    <row r="44" customFormat="false" ht="15" hidden="false" customHeight="true" outlineLevel="0" collapsed="false">
      <c r="A44" s="4" t="s">
        <v>126</v>
      </c>
      <c r="B44" s="35" t="n">
        <f aca="false">B42-B43</f>
        <v>266236.450119731</v>
      </c>
      <c r="C44" s="6"/>
      <c r="D44" s="6"/>
      <c r="E44" s="6"/>
      <c r="F44" s="6"/>
      <c r="G44" s="6"/>
    </row>
    <row r="45" customFormat="false" ht="15" hidden="false" customHeight="true" outlineLevel="0" collapsed="false">
      <c r="A45" s="7" t="s">
        <v>6</v>
      </c>
      <c r="B45" s="47" t="n">
        <f aca="false">Summary!B7</f>
        <v>4301.6</v>
      </c>
      <c r="C45" s="6"/>
      <c r="D45" s="6"/>
      <c r="E45" s="6"/>
      <c r="F45" s="6"/>
      <c r="G45" s="6"/>
    </row>
    <row r="46" customFormat="false" ht="15" hidden="false" customHeight="true" outlineLevel="0" collapsed="false">
      <c r="A46" s="4" t="s">
        <v>127</v>
      </c>
      <c r="B46" s="15" t="n">
        <f aca="false">B44/B45</f>
        <v>61.8924237771366</v>
      </c>
      <c r="C46" s="6"/>
      <c r="D46" s="6"/>
      <c r="E46" s="6"/>
      <c r="F46" s="6"/>
      <c r="G46" s="6"/>
    </row>
    <row r="48" customFormat="false" ht="15" hidden="false" customHeight="true" outlineLevel="0" collapsed="false">
      <c r="A48" s="4" t="s">
        <v>128</v>
      </c>
      <c r="B48" s="6"/>
      <c r="C48" s="6"/>
      <c r="D48" s="6"/>
      <c r="E48" s="6"/>
      <c r="F48" s="6"/>
    </row>
    <row r="49" customFormat="false" ht="15" hidden="false" customHeight="true" outlineLevel="0" collapsed="false">
      <c r="A49" s="10" t="s">
        <v>129</v>
      </c>
      <c r="B49" s="48" t="n">
        <v>0.015</v>
      </c>
      <c r="C49" s="48" t="n">
        <v>0.02</v>
      </c>
      <c r="D49" s="48" t="n">
        <v>0.025</v>
      </c>
      <c r="E49" s="48" t="n">
        <v>0.03</v>
      </c>
      <c r="F49" s="48" t="n">
        <v>0.035</v>
      </c>
    </row>
    <row r="50" customFormat="false" ht="15" hidden="false" customHeight="true" outlineLevel="0" collapsed="false">
      <c r="A50" s="49" t="n">
        <f aca="false">$B$16+(-0.01)</f>
        <v>0.0583215759548381</v>
      </c>
      <c r="B50" s="50" t="n">
        <f aca="false">(SUMPRODUCT($C$29:$G$29,1/(1+$A$50)^$C$30:$G$30)+(G$29*(1+B$49)/($A$50-B$49))/(1+$A$50)^G$30-$B$43)/$B$45</f>
        <v>64.4060919558841</v>
      </c>
      <c r="C50" s="50" t="n">
        <f aca="false">(SUMPRODUCT($C$29:$G$29,1/(1+$A$50)^$C$30:$G$30)+(G$29*(1+C$49)/($A$50-C$49))/(1+$A$50)^G$30-$B$43)/$B$45</f>
        <v>72.4550461223016</v>
      </c>
      <c r="D50" s="50" t="n">
        <f aca="false">(SUMPRODUCT($C$29:$G$29,1/(1+$A$50)^$C$30:$G$30)+(G$29*(1+D$49)/($A$50-D$49))/(1+$A$50)^G$30-$B$43)/$B$45</f>
        <v>82.9195385505728</v>
      </c>
      <c r="E50" s="50" t="n">
        <f aca="false">(SUMPRODUCT($C$29:$G$29,1/(1+$A$50)^$C$30:$G$30)+(G$29*(1+E$49)/($A$50-E$49))/(1+$A$50)^G$30-$B$43)/$B$45</f>
        <v>97.0789144997886</v>
      </c>
      <c r="F50" s="50" t="n">
        <f aca="false">(SUMPRODUCT($C$29:$G$29,1/(1+$A$50)^$C$30:$G$30)+(G$29*(1+F$49)/($A$50-F$49))/(1+$A$50)^G$30-$B$43)/$B$45</f>
        <v>117.309653712206</v>
      </c>
    </row>
    <row r="51" customFormat="false" ht="15" hidden="false" customHeight="true" outlineLevel="0" collapsed="false">
      <c r="A51" s="49" t="n">
        <f aca="false">$B$16+(-0.005)</f>
        <v>0.0633215759548381</v>
      </c>
      <c r="B51" s="50" t="n">
        <f aca="false">(SUMPRODUCT($C$29:$G$29,1/(1+$A$51)^$C$30:$G$30)+(G$29*(1+B$49)/($A$51-B$49))/(1+$A$51)^G$30-$B$43)/$B$45</f>
        <v>56.8707324000661</v>
      </c>
      <c r="C51" s="50" t="n">
        <f aca="false">(SUMPRODUCT($C$29:$G$29,1/(1+$A$51)^$C$30:$G$30)+(G$29*(1+C$49)/($A$51-C$49))/(1+$A$51)^G$30-$B$43)/$B$45</f>
        <v>63.1347622837776</v>
      </c>
      <c r="D51" s="50" t="n">
        <f aca="false">(SUMPRODUCT($C$29:$G$29,1/(1+$A$51)^$C$30:$G$30)+(G$29*(1+D$49)/($A$51-D$49))/(1+$A$51)^G$30-$B$43)/$B$45</f>
        <v>71.0333882736341</v>
      </c>
      <c r="E51" s="50" t="n">
        <f aca="false">(SUMPRODUCT($C$29:$G$29,1/(1+$A$51)^$C$30:$G$30)+(G$29*(1+E$49)/($A$51-E$49))/(1+$A$51)^G$30-$B$43)/$B$45</f>
        <v>81.3024381595757</v>
      </c>
      <c r="F51" s="50" t="n">
        <f aca="false">(SUMPRODUCT($C$29:$G$29,1/(1+$A$51)^$C$30:$G$30)+(G$29*(1+F$49)/($A$51-F$49))/(1+$A$51)^G$30-$B$43)/$B$45</f>
        <v>95.1973632094971</v>
      </c>
    </row>
    <row r="52" customFormat="false" ht="15" hidden="false" customHeight="true" outlineLevel="0" collapsed="false">
      <c r="A52" s="49" t="n">
        <f aca="false">$B$16+(0)</f>
        <v>0.0683215759548381</v>
      </c>
      <c r="B52" s="50" t="n">
        <f aca="false">(SUMPRODUCT($C$29:$G$29,1/(1+$A$52)^$C$30:$G$30)+(G$29*(1+B$49)/($A$52-B$49))/(1+$A$52)^G$30-$B$43)/$B$45</f>
        <v>50.7501856290377</v>
      </c>
      <c r="C52" s="50" t="n">
        <f aca="false">(SUMPRODUCT($C$29:$G$29,1/(1+$A$52)^$C$30:$G$30)+(G$29*(1+C$49)/($A$52-C$49))/(1+$A$52)^G$30-$B$43)/$B$45</f>
        <v>55.7448418121359</v>
      </c>
      <c r="D52" s="51" t="n">
        <f aca="false">(SUMPRODUCT($C$29:$G$29,1/(1+$A$52)^$C$30:$G$30)+(G$29*(1+D$49)/($A$52-D$49))/(1+$A$52)^G$30-$B$43)/$B$45</f>
        <v>61.8924237771366</v>
      </c>
      <c r="E52" s="50" t="n">
        <f aca="false">(SUMPRODUCT($C$29:$G$29,1/(1+$A$52)^$C$30:$G$30)+(G$29*(1+E$49)/($A$52-E$49))/(1+$A$52)^G$30-$B$43)/$B$45</f>
        <v>69.644214810221</v>
      </c>
      <c r="F52" s="50" t="n">
        <f aca="false">(SUMPRODUCT($C$29:$G$29,1/(1+$A$52)^$C$30:$G$30)+(G$29*(1+F$49)/($A$52-F$49))/(1+$A$52)^G$30-$B$43)/$B$45</f>
        <v>79.7223637093291</v>
      </c>
    </row>
    <row r="53" customFormat="false" ht="15" hidden="false" customHeight="true" outlineLevel="0" collapsed="false">
      <c r="A53" s="49" t="n">
        <f aca="false">$B$16+(0.005)</f>
        <v>0.0733215759548381</v>
      </c>
      <c r="B53" s="50" t="n">
        <f aca="false">(SUMPRODUCT($C$29:$G$29,1/(1+$A$53)^$C$30:$G$30)+(G$29*(1+B$49)/($A$53-B$49))/(1+$A$53)^G$30-$B$43)/$B$45</f>
        <v>45.6805338777183</v>
      </c>
      <c r="C53" s="50" t="n">
        <f aca="false">(SUMPRODUCT($C$29:$G$29,1/(1+$A$53)^$C$30:$G$30)+(G$29*(1+C$49)/($A$53-C$49))/(1+$A$53)^G$30-$B$43)/$B$45</f>
        <v>49.7422166102492</v>
      </c>
      <c r="D53" s="50" t="n">
        <f aca="false">(SUMPRODUCT($C$29:$G$29,1/(1+$A$53)^$C$30:$G$30)+(G$29*(1+D$49)/($A$53-D$49))/(1+$A$53)^G$30-$B$43)/$B$45</f>
        <v>54.6444519638965</v>
      </c>
      <c r="E53" s="50" t="n">
        <f aca="false">(SUMPRODUCT($C$29:$G$29,1/(1+$A$53)^$C$30:$G$30)+(G$29*(1+E$49)/($A$53-E$49))/(1+$A$53)^G$30-$B$43)/$B$45</f>
        <v>60.6782794273871</v>
      </c>
      <c r="F53" s="50" t="n">
        <f aca="false">(SUMPRODUCT($C$29:$G$29,1/(1+$A$53)^$C$30:$G$30)+(G$29*(1+F$49)/($A$53-F$49))/(1+$A$53)^G$30-$B$43)/$B$45</f>
        <v>68.286631767047</v>
      </c>
    </row>
    <row r="54" customFormat="false" ht="15" hidden="false" customHeight="true" outlineLevel="0" collapsed="false">
      <c r="A54" s="52" t="n">
        <f aca="false">$B$16+(0.01)</f>
        <v>0.0783215759548381</v>
      </c>
      <c r="B54" s="53" t="n">
        <f aca="false">(SUMPRODUCT($C$29:$G$29,1/(1+$A$54)^$C$30:$G$30)+(G$29*(1+B$49)/($A$54-B$49))/(1+$A$54)^G$30-$B$43)/$B$45</f>
        <v>41.4128030693516</v>
      </c>
      <c r="C54" s="53" t="n">
        <f aca="false">(SUMPRODUCT($C$29:$G$29,1/(1+$A$54)^$C$30:$G$30)+(G$29*(1+C$49)/($A$54-C$49))/(1+$A$54)^G$30-$B$43)/$B$45</f>
        <v>44.7700517889917</v>
      </c>
      <c r="D54" s="53" t="n">
        <f aca="false">(SUMPRODUCT($C$29:$G$29,1/(1+$A$54)^$C$30:$G$30)+(G$29*(1+D$49)/($A$54-D$49))/(1+$A$54)^G$30-$B$43)/$B$45</f>
        <v>48.7569234444737</v>
      </c>
      <c r="E54" s="53" t="n">
        <f aca="false">(SUMPRODUCT($C$29:$G$29,1/(1+$A$54)^$C$30:$G$30)+(G$29*(1+E$49)/($A$54-E$49))/(1+$A$54)^G$30-$B$43)/$B$45</f>
        <v>53.5688658011283</v>
      </c>
      <c r="F54" s="53" t="n">
        <f aca="false">(SUMPRODUCT($C$29:$G$29,1/(1+$A$54)^$C$30:$G$30)+(G$29*(1+F$49)/($A$54-F$49))/(1+$A$54)^G$30-$B$43)/$B$45</f>
        <v>59.4915577670931</v>
      </c>
    </row>
  </sheetData>
  <mergeCells count="1">
    <mergeCell ref="A1:H1"/>
  </mergeCells>
  <conditionalFormatting sqref="B50:F54">
    <cfRule type="colorScale" priority="2">
      <colorScale>
        <cfvo type="min" val="0"/>
        <cfvo type="percentile" val="50"/>
        <cfvo type="max" val="0"/>
        <color rgb="FFF8696B"/>
        <color rgb="FFFFEB84"/>
        <color rgb="FF63BE7B"/>
      </colorScale>
    </cfRule>
  </conditionalFormatting>
  <dataValidations count="1">
    <dataValidation allowBlank="false" error="Choose Bear, Base, or Bull" errorStyle="stop" operator="between" prompt="Select a scenario to flex the model" showDropDown="false" showErrorMessage="false" showInputMessage="false" sqref="B3" type="list">
      <formula1>"Bear,Base,Bull"</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6" min="2" style="1" width="11"/>
  </cols>
  <sheetData>
    <row r="1" customFormat="false" ht="17.25" hidden="false" customHeight="true" outlineLevel="0" collapsed="false">
      <c r="A1" s="54" t="s">
        <v>130</v>
      </c>
      <c r="B1" s="54"/>
      <c r="C1" s="54"/>
      <c r="D1" s="54"/>
      <c r="E1" s="54"/>
      <c r="F1" s="54"/>
    </row>
    <row r="2" customFormat="false" ht="25.5" hidden="false" customHeight="true" outlineLevel="0" collapsed="false">
      <c r="A2" s="55" t="s">
        <v>131</v>
      </c>
      <c r="B2" s="55"/>
      <c r="C2" s="55"/>
      <c r="D2" s="55"/>
      <c r="E2" s="55"/>
      <c r="F2" s="55"/>
    </row>
    <row r="4" customFormat="false" ht="15" hidden="false" customHeight="true" outlineLevel="0" collapsed="false">
      <c r="A4" s="19" t="s">
        <v>132</v>
      </c>
      <c r="B4" s="20"/>
      <c r="C4" s="20"/>
      <c r="D4" s="20"/>
      <c r="E4" s="20"/>
      <c r="F4" s="20"/>
    </row>
    <row r="5" customFormat="false" ht="15" hidden="false" customHeight="true" outlineLevel="0" collapsed="false">
      <c r="A5" s="56" t="s">
        <v>133</v>
      </c>
      <c r="B5" s="57" t="s">
        <v>99</v>
      </c>
      <c r="C5" s="57" t="s">
        <v>100</v>
      </c>
      <c r="D5" s="57" t="s">
        <v>101</v>
      </c>
      <c r="E5" s="57" t="s">
        <v>102</v>
      </c>
      <c r="F5" s="57" t="s">
        <v>103</v>
      </c>
    </row>
    <row r="6" customFormat="false" ht="15" hidden="false" customHeight="true" outlineLevel="0" collapsed="false">
      <c r="A6" s="58" t="s">
        <v>134</v>
      </c>
      <c r="B6" s="59" t="n">
        <v>0.02</v>
      </c>
      <c r="C6" s="59" t="n">
        <v>0.02</v>
      </c>
      <c r="D6" s="59" t="n">
        <v>0.018</v>
      </c>
      <c r="E6" s="59" t="n">
        <v>0.018</v>
      </c>
      <c r="F6" s="59" t="n">
        <v>0.015</v>
      </c>
    </row>
    <row r="7" customFormat="false" ht="15" hidden="false" customHeight="true" outlineLevel="0" collapsed="false">
      <c r="A7" s="58" t="s">
        <v>83</v>
      </c>
      <c r="B7" s="59" t="n">
        <v>0.05</v>
      </c>
      <c r="C7" s="59" t="n">
        <v>0.048</v>
      </c>
      <c r="D7" s="59" t="n">
        <v>0.045</v>
      </c>
      <c r="E7" s="59" t="n">
        <v>0.042</v>
      </c>
      <c r="F7" s="59" t="n">
        <v>0.04</v>
      </c>
    </row>
    <row r="8" customFormat="false" ht="15" hidden="false" customHeight="true" outlineLevel="0" collapsed="false">
      <c r="A8" s="58" t="s">
        <v>135</v>
      </c>
      <c r="B8" s="59" t="n">
        <v>0.07</v>
      </c>
      <c r="C8" s="59" t="n">
        <v>0.065</v>
      </c>
      <c r="D8" s="59" t="n">
        <v>0.06</v>
      </c>
      <c r="E8" s="59" t="n">
        <v>0.055</v>
      </c>
      <c r="F8" s="59" t="n">
        <v>0.05</v>
      </c>
    </row>
    <row r="10" customFormat="false" ht="15" hidden="false" customHeight="true" outlineLevel="0" collapsed="false">
      <c r="A10" s="19" t="s">
        <v>136</v>
      </c>
      <c r="B10" s="20"/>
      <c r="C10" s="20"/>
      <c r="D10" s="20"/>
      <c r="E10" s="20"/>
      <c r="F10" s="20"/>
    </row>
    <row r="11" customFormat="false" ht="15" hidden="false" customHeight="true" outlineLevel="0" collapsed="false">
      <c r="A11" s="56" t="s">
        <v>133</v>
      </c>
      <c r="B11" s="57" t="s">
        <v>99</v>
      </c>
      <c r="C11" s="57" t="s">
        <v>100</v>
      </c>
      <c r="D11" s="57" t="s">
        <v>101</v>
      </c>
      <c r="E11" s="57" t="s">
        <v>102</v>
      </c>
      <c r="F11" s="57" t="s">
        <v>103</v>
      </c>
    </row>
    <row r="12" customFormat="false" ht="15" hidden="false" customHeight="true" outlineLevel="0" collapsed="false">
      <c r="A12" s="58" t="s">
        <v>134</v>
      </c>
      <c r="B12" s="59" t="n">
        <v>0.305</v>
      </c>
      <c r="C12" s="59" t="n">
        <v>0.303</v>
      </c>
      <c r="D12" s="59" t="n">
        <v>0.3</v>
      </c>
      <c r="E12" s="59" t="n">
        <v>0.298</v>
      </c>
      <c r="F12" s="59" t="n">
        <v>0.295</v>
      </c>
    </row>
    <row r="13" customFormat="false" ht="15" hidden="false" customHeight="true" outlineLevel="0" collapsed="false">
      <c r="A13" s="58" t="s">
        <v>83</v>
      </c>
      <c r="B13" s="59" t="n">
        <v>0.318</v>
      </c>
      <c r="C13" s="59" t="n">
        <v>0.322</v>
      </c>
      <c r="D13" s="59" t="n">
        <v>0.326</v>
      </c>
      <c r="E13" s="59" t="n">
        <v>0.33</v>
      </c>
      <c r="F13" s="59" t="n">
        <v>0.333</v>
      </c>
    </row>
    <row r="14" customFormat="false" ht="15" hidden="false" customHeight="true" outlineLevel="0" collapsed="false">
      <c r="A14" s="58" t="s">
        <v>135</v>
      </c>
      <c r="B14" s="59" t="n">
        <v>0.325</v>
      </c>
      <c r="C14" s="59" t="n">
        <v>0.335</v>
      </c>
      <c r="D14" s="59" t="n">
        <v>0.345</v>
      </c>
      <c r="E14" s="59" t="n">
        <v>0.355</v>
      </c>
      <c r="F14" s="59" t="n">
        <v>0.365</v>
      </c>
    </row>
    <row r="15" customFormat="false" ht="39.75" hidden="false" customHeight="true" outlineLevel="0" collapsed="false">
      <c r="A15" s="55" t="s">
        <v>137</v>
      </c>
      <c r="B15" s="55"/>
      <c r="C15" s="55"/>
      <c r="D15" s="55"/>
      <c r="E15" s="55"/>
      <c r="F15" s="55"/>
    </row>
    <row r="16" customFormat="false" ht="13.5" hidden="false" customHeight="true" outlineLevel="0" collapsed="false">
      <c r="A16" s="55"/>
      <c r="B16" s="55"/>
      <c r="C16" s="55"/>
      <c r="D16" s="55"/>
      <c r="E16" s="55"/>
      <c r="F16" s="55"/>
    </row>
  </sheetData>
  <mergeCells count="3">
    <mergeCell ref="A1:F1"/>
    <mergeCell ref="A2:F2"/>
    <mergeCell ref="A15:F16"/>
  </mergeCells>
  <printOptions headings="false" gridLines="false" gridLinesSet="true" horizontalCentered="false" verticalCentered="false"/>
  <pageMargins left="0.4" right="0.4" top="0.5" bottom="0.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7" min="2" style="1" width="15"/>
  </cols>
  <sheetData>
    <row r="1" customFormat="false" ht="17.25" hidden="false" customHeight="true" outlineLevel="0" collapsed="false">
      <c r="A1" s="2" t="s">
        <v>138</v>
      </c>
      <c r="B1" s="2"/>
      <c r="C1" s="2"/>
      <c r="D1" s="2"/>
      <c r="E1" s="2"/>
      <c r="F1" s="2"/>
      <c r="G1" s="2"/>
    </row>
    <row r="2" customFormat="false" ht="15" hidden="false" customHeight="true" outlineLevel="0" collapsed="false">
      <c r="A2" s="60" t="s">
        <v>139</v>
      </c>
    </row>
    <row r="4" customFormat="false" ht="15" hidden="false" customHeight="true" outlineLevel="0" collapsed="false">
      <c r="A4" s="10" t="s">
        <v>140</v>
      </c>
      <c r="B4" s="10" t="s">
        <v>141</v>
      </c>
      <c r="C4" s="10" t="s">
        <v>142</v>
      </c>
      <c r="D4" s="10" t="s">
        <v>143</v>
      </c>
      <c r="E4" s="10" t="s">
        <v>124</v>
      </c>
      <c r="F4" s="10" t="s">
        <v>144</v>
      </c>
      <c r="G4" s="10" t="s">
        <v>145</v>
      </c>
    </row>
    <row r="5" customFormat="false" ht="15" hidden="false" customHeight="true" outlineLevel="0" collapsed="false">
      <c r="A5" s="6" t="s">
        <v>146</v>
      </c>
      <c r="B5" s="5" t="n">
        <v>142.62</v>
      </c>
      <c r="C5" s="32" t="n">
        <v>195460</v>
      </c>
      <c r="D5" s="32" t="n">
        <v>42963</v>
      </c>
      <c r="E5" s="36" t="n">
        <f aca="false">C5+D5</f>
        <v>238423</v>
      </c>
      <c r="F5" s="61" t="n">
        <v>27.2</v>
      </c>
      <c r="G5" s="61" t="n">
        <v>11.6</v>
      </c>
    </row>
    <row r="6" customFormat="false" ht="15" hidden="false" customHeight="true" outlineLevel="0" collapsed="false">
      <c r="A6" s="6" t="s">
        <v>147</v>
      </c>
      <c r="B6" s="5" t="n">
        <v>30.91</v>
      </c>
      <c r="C6" s="32" t="n">
        <v>43000</v>
      </c>
      <c r="D6" s="32" t="n">
        <v>25000</v>
      </c>
      <c r="E6" s="36" t="n">
        <f aca="false">C6+D6</f>
        <v>68000</v>
      </c>
      <c r="F6" s="61" t="n">
        <v>22.4</v>
      </c>
      <c r="G6" s="61" t="n">
        <v>12.1</v>
      </c>
    </row>
    <row r="7" customFormat="false" ht="15" hidden="false" customHeight="true" outlineLevel="0" collapsed="false">
      <c r="A7" s="6" t="s">
        <v>148</v>
      </c>
      <c r="B7" s="5" t="n">
        <v>70.03</v>
      </c>
      <c r="C7" s="32" t="n">
        <v>68090</v>
      </c>
      <c r="D7" s="32" t="n">
        <v>-3419</v>
      </c>
      <c r="E7" s="36" t="n">
        <f aca="false">C7+D7</f>
        <v>64671</v>
      </c>
      <c r="F7" s="61" t="n">
        <v>42</v>
      </c>
      <c r="G7" s="62" t="s">
        <v>149</v>
      </c>
    </row>
    <row r="8" customFormat="false" ht="15" hidden="false" customHeight="true" outlineLevel="0" collapsed="false">
      <c r="A8" s="6"/>
      <c r="B8" s="6"/>
      <c r="C8" s="6"/>
      <c r="D8" s="6"/>
      <c r="E8" s="6"/>
      <c r="F8" s="6"/>
      <c r="G8" s="6"/>
    </row>
    <row r="9" customFormat="false" ht="15" hidden="false" customHeight="true" outlineLevel="0" collapsed="false">
      <c r="A9" s="4" t="s">
        <v>150</v>
      </c>
      <c r="B9" s="63" t="n">
        <f aca="false">AVERAGE(F5:F7)</f>
        <v>30.5333333333333</v>
      </c>
      <c r="C9" s="6"/>
      <c r="D9" s="6"/>
      <c r="E9" s="6"/>
      <c r="F9" s="6"/>
      <c r="G9" s="6"/>
    </row>
    <row r="10" customFormat="false" ht="15" hidden="false" customHeight="true" outlineLevel="0" collapsed="false">
      <c r="A10" s="4" t="s">
        <v>151</v>
      </c>
      <c r="B10" s="63" t="n">
        <f aca="false">AVERAGE(G5:G7)</f>
        <v>11.85</v>
      </c>
      <c r="C10" s="6"/>
      <c r="D10" s="6"/>
      <c r="E10" s="6"/>
      <c r="F10" s="6"/>
      <c r="G10" s="6"/>
    </row>
    <row r="11" customFormat="false" ht="15" hidden="false" customHeight="true" outlineLevel="0" collapsed="false">
      <c r="A11" s="6"/>
      <c r="B11" s="6"/>
      <c r="C11" s="6"/>
      <c r="D11" s="6"/>
      <c r="E11" s="6"/>
      <c r="F11" s="6"/>
      <c r="G11" s="6"/>
    </row>
    <row r="12" customFormat="false" ht="15" hidden="false" customHeight="true" outlineLevel="0" collapsed="false">
      <c r="A12" s="33" t="s">
        <v>152</v>
      </c>
      <c r="B12" s="34"/>
      <c r="C12" s="34"/>
      <c r="D12" s="34"/>
      <c r="E12" s="34"/>
      <c r="F12" s="34"/>
      <c r="G12" s="6"/>
    </row>
    <row r="13" customFormat="false" ht="15" hidden="false" customHeight="true" outlineLevel="0" collapsed="false">
      <c r="A13" s="7" t="s">
        <v>153</v>
      </c>
      <c r="B13" s="12" t="n">
        <f aca="false">Historicals!B32</f>
        <v>3.33</v>
      </c>
      <c r="C13" s="6"/>
      <c r="D13" s="6"/>
      <c r="E13" s="6"/>
      <c r="F13" s="6"/>
      <c r="G13" s="6"/>
    </row>
    <row r="14" customFormat="false" ht="15" hidden="false" customHeight="true" outlineLevel="0" collapsed="false">
      <c r="A14" s="7" t="s">
        <v>154</v>
      </c>
      <c r="B14" s="42" t="n">
        <f aca="false">Historicals!B34</f>
        <v>17217.225</v>
      </c>
      <c r="C14" s="6"/>
      <c r="D14" s="6"/>
      <c r="E14" s="6"/>
      <c r="F14" s="6"/>
      <c r="G14" s="6"/>
    </row>
    <row r="15" customFormat="false" ht="15" hidden="false" customHeight="true" outlineLevel="0" collapsed="false">
      <c r="A15" s="7" t="s">
        <v>155</v>
      </c>
      <c r="B15" s="42" t="n">
        <f aca="false">Historicals!F23</f>
        <v>32108</v>
      </c>
      <c r="C15" s="6"/>
      <c r="D15" s="6"/>
      <c r="E15" s="6"/>
      <c r="F15" s="6"/>
      <c r="G15" s="6"/>
    </row>
    <row r="16" customFormat="false" ht="15" hidden="false" customHeight="true" outlineLevel="0" collapsed="false">
      <c r="A16" s="7" t="s">
        <v>156</v>
      </c>
      <c r="B16" s="47" t="n">
        <f aca="false">Summary!B7</f>
        <v>4301.6</v>
      </c>
      <c r="C16" s="6"/>
      <c r="D16" s="6"/>
      <c r="E16" s="6"/>
      <c r="F16" s="6"/>
      <c r="G16" s="6"/>
    </row>
    <row r="17" customFormat="false" ht="15" hidden="false" customHeight="true" outlineLevel="0" collapsed="false">
      <c r="A17" s="6"/>
      <c r="B17" s="6"/>
      <c r="C17" s="6"/>
      <c r="D17" s="6"/>
      <c r="E17" s="6"/>
      <c r="F17" s="6"/>
      <c r="G17" s="6"/>
    </row>
    <row r="18" customFormat="false" ht="15" hidden="false" customHeight="true" outlineLevel="0" collapsed="false">
      <c r="A18" s="10" t="s">
        <v>38</v>
      </c>
      <c r="B18" s="10" t="s">
        <v>157</v>
      </c>
      <c r="C18" s="10" t="s">
        <v>9</v>
      </c>
      <c r="D18" s="6"/>
      <c r="E18" s="6"/>
      <c r="F18" s="6"/>
      <c r="G18" s="6"/>
    </row>
    <row r="19" customFormat="false" ht="15" hidden="false" customHeight="true" outlineLevel="0" collapsed="false">
      <c r="A19" s="7" t="s">
        <v>158</v>
      </c>
      <c r="B19" s="36" t="n">
        <f aca="false">B9*B13*B16</f>
        <v>437369.4816</v>
      </c>
      <c r="C19" s="50" t="n">
        <f aca="false">B9*B13</f>
        <v>101.676</v>
      </c>
      <c r="D19" s="6"/>
      <c r="E19" s="6"/>
      <c r="F19" s="6"/>
      <c r="G19" s="6"/>
    </row>
    <row r="20" customFormat="false" ht="15" hidden="false" customHeight="true" outlineLevel="0" collapsed="false">
      <c r="A20" s="7" t="s">
        <v>159</v>
      </c>
      <c r="B20" s="36" t="n">
        <f aca="false">B10*B14-B15</f>
        <v>171916.11625</v>
      </c>
      <c r="C20" s="50" t="n">
        <f aca="false">(B10*B14-B15)/B16</f>
        <v>39.9656212223359</v>
      </c>
      <c r="D20" s="6"/>
      <c r="E20" s="6"/>
      <c r="F20" s="6"/>
      <c r="G20" s="6"/>
    </row>
    <row r="22" customFormat="false" ht="24" hidden="false" customHeight="true" outlineLevel="0" collapsed="false">
      <c r="A22" s="64" t="s">
        <v>160</v>
      </c>
      <c r="B22" s="64"/>
      <c r="C22" s="64"/>
      <c r="D22" s="64"/>
      <c r="E22" s="64"/>
      <c r="F22" s="64"/>
      <c r="G22" s="64"/>
    </row>
    <row r="23" customFormat="false" ht="30" hidden="false" customHeight="true" outlineLevel="0" collapsed="false">
      <c r="A23" s="64" t="s">
        <v>161</v>
      </c>
      <c r="B23" s="64"/>
      <c r="C23" s="64"/>
      <c r="D23" s="64"/>
      <c r="E23" s="64"/>
      <c r="F23" s="64"/>
      <c r="G23" s="64"/>
    </row>
  </sheetData>
  <mergeCells count="3">
    <mergeCell ref="A1:G1"/>
    <mergeCell ref="A22:G22"/>
    <mergeCell ref="A23:G23"/>
  </mergeCells>
  <printOptions headings="false" gridLines="false" gridLinesSet="true" horizontalCentered="false" verticalCentered="false"/>
  <pageMargins left="0.4" right="0.4" top="0.5" bottom="0.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2026-08-23T20:30:05Z</dcterms:created>
  <dc:creator>openpyxl</dc:creator>
  <dc:description/>
  <dc:language>en-US</dc:language>
  <cp:lastModifiedBy/>
  <dcterms:modified xsi:type="dcterms:W3CDTF">2026-08-27T07:43:39Z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