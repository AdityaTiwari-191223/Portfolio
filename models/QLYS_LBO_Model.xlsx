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Sources &amp; Uses" sheetId="3" state="visible" r:id="rId5"/>
    <sheet name="Operating Model" sheetId="4" state="visible" r:id="rId6"/>
    <sheet name="Debt Schedule" sheetId="5" state="visible" r:id="rId7"/>
    <sheet name="Returns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1" authorId="0">
      <text>
        <r>
          <rPr>
            <sz val="10"/>
            <rFont val="Arial"/>
            <family val="2"/>
          </rPr>
          <t xml:space="preserve">Modeled as a SOURCE of cash on revenue growth, not a use — intentional, not a sign error. Qualys is a subscription SaaS business that collects cash upfront via annual/multi-year billings and recognizes revenue over the contract term, so growing billings grow deferred revenue (a liability) faster than receivables grow, making revenue growth net cash-generative from a working-capital standpoint. This is a standard, well-documented dynamic for subscription businesses and is the opposite of the typical manufacturing/retail case where growth consumes working capital.</t>
        </r>
      </text>
    </comment>
    <comment ref="C6" authorId="0">
      <text>
        <r>
          <rPr>
            <sz val="10"/>
            <rFont val="Arial"/>
            <family val="2"/>
          </rPr>
          <t xml:space="preserve">Qualys, Inc. (QLYS) closing share price, Apr 9, 2026 (Seeking Alpha / MarketBeat market data). Stock traded in a $76-$170 range over the trailing 12 months following the Feb 2026 post-earnings selloff.</t>
        </r>
      </text>
    </comment>
    <comment ref="C7" authorId="0">
      <text>
        <r>
          <rPr>
            <sz val="10"/>
            <rFont val="Arial"/>
            <family val="2"/>
          </rPr>
          <t xml:space="preserve">Approx. diluted shares outstanding per company filings / MarketBeat, FY2025 (weighted-average diluted shares were 37.35mm in FY2024 per 10-K; per most recent prints ~36.1-36.8mm).</t>
        </r>
      </text>
    </comment>
    <comment ref="C9" authorId="0">
      <text>
        <r>
          <rPr>
            <sz val="10"/>
            <rFont val="Arial"/>
            <family val="2"/>
          </rPr>
          <t xml:space="preserve">Qualys FY2025 full-year revenue, up 10% YoY. Source: Qualys Q4 &amp; FY2025 Financial Results press release, Feb 5, 2026.</t>
        </r>
      </text>
    </comment>
    <comment ref="C10" authorId="0">
      <text>
        <r>
          <rPr>
            <sz val="10"/>
            <rFont val="Arial"/>
            <family val="2"/>
          </rPr>
          <t xml:space="preserve">Qualys FY2025 Adjusted EBITDA, +11% YoY, 47% margin. Source: Qualys Q4 &amp; FY2025 Financial Results press release, Feb 5, 2026.</t>
        </r>
      </text>
    </comment>
    <comment ref="C12" authorId="0">
      <text>
        <r>
          <rPr>
            <sz val="10"/>
            <rFont val="Arial"/>
            <family val="2"/>
          </rPr>
          <t xml:space="preserve">Cash and short-term investments; company is effectively debt-free. Source: SimplyWall.st balance-sheet summary citing S&amp;P Global Market Intelligence, snapshot ~Apr 2026.</t>
        </r>
      </text>
    </comment>
    <comment ref="C13" authorId="0">
      <text>
        <r>
          <rPr>
            <sz val="10"/>
            <rFont val="Arial"/>
            <family val="2"/>
          </rPr>
          <t xml:space="preserve">Qualys carries no funded debt as of the most recent balance sheet. Source: SimplyWall.st balance-sheet summary, snapshot ~Apr 2026.</t>
        </r>
      </text>
    </comment>
    <comment ref="C17" authorId="0">
      <text>
        <r>
          <rPr>
            <sz val="10"/>
            <rFont val="Arial"/>
            <family val="2"/>
          </rPr>
          <t xml:space="preserve">Key value driver. Set as a discount to where quality, high-margin cybersecurity SaaS peers typically trade (mid-teens to 20x+), reflecting QLYS's post-selloff valuation and a disciplined sponsor entry price.</t>
        </r>
      </text>
    </comment>
    <comment ref="C35" authorId="0">
      <text>
        <r>
          <rPr>
            <sz val="10"/>
            <rFont val="Arial"/>
            <family val="2"/>
          </rPr>
          <t xml:space="preserve">Key value driver. Reflects a fairly conservative structure for a high-margin, high-cash-conversion software credit (many sponsor-backed software LBOs run 5.0-6.5x total leverage); kept moderate here given no existing debt cushion in the credit markets for this issuer.</t>
        </r>
      </text>
    </comment>
    <comment ref="C37" authorId="0">
      <text>
        <r>
          <rPr>
            <sz val="10"/>
            <rFont val="Arial"/>
            <family val="2"/>
          </rPr>
          <t xml:space="preserve">Illustrative: ~4.5% SOFR + 400bps margin, broadly consistent with 2026 institutional term loan pricing for a B+/BB- rated software credit.</t>
        </r>
      </text>
    </comment>
    <comment ref="C38" authorId="0">
      <text>
        <r>
          <rPr>
            <sz val="10"/>
            <rFont val="Arial"/>
            <family val="2"/>
          </rPr>
          <t xml:space="preserve">Standard institutional Term Loan B mandatory amortization of 1% per annum.</t>
        </r>
      </text>
    </comment>
    <comment ref="C39" authorId="0">
      <text>
        <r>
          <rPr>
            <sz val="10"/>
            <rFont val="Arial"/>
            <family val="2"/>
          </rPr>
          <t xml:space="preserve">100% cash flow sweep of free cash flow remaining after mandatory amortization, capex, cash interest and cash taxes — typical for a sponsor prioritizing rapid deleveraging.</t>
        </r>
      </text>
    </comment>
    <comment ref="C40" authorId="0">
      <text>
        <r>
          <rPr>
            <sz val="10"/>
            <rFont val="Arial"/>
            <family val="2"/>
          </rPr>
          <t xml:space="preserve">Minimum operating cash the sponsor leaves on the balance sheet rather than sweeping to debt paydown or using to fund the purchase price.</t>
        </r>
      </text>
    </comment>
    <comment ref="C41" authorId="0">
      <text>
        <r>
          <rPr>
            <sz val="10"/>
            <rFont val="Arial"/>
            <family val="2"/>
          </rPr>
          <t xml:space="preserve">Illustrative M&amp;A advisory, legal and diligence fees.</t>
        </r>
      </text>
    </comment>
    <comment ref="C42" authorId="0">
      <text>
        <r>
          <rPr>
            <sz val="10"/>
            <rFont val="Arial"/>
            <family val="2"/>
          </rPr>
          <t xml:space="preserve">Illustrative arrangement/OID fees on the new Term Loan B, capitalized as a use of funds at close.</t>
        </r>
      </text>
    </comment>
    <comment ref="C45" authorId="0">
      <text>
        <r>
          <rPr>
            <sz val="10"/>
            <rFont val="Arial"/>
            <family val="2"/>
          </rPr>
          <t xml:space="preserve">Standard private equity hold period assumption.</t>
        </r>
      </text>
    </comment>
    <comment ref="C46" authorId="0">
      <text>
        <r>
          <rPr>
            <sz val="10"/>
            <rFont val="Arial"/>
            <family val="2"/>
          </rPr>
          <t xml:space="preserve">Base case assumes exit at the same multiple as entry (no multiple expansion) — a conservative assumption; see the sensitivity grid on the Returns Analysis tab for upside/downside cases.</t>
        </r>
      </text>
    </comment>
    <comment ref="C47" authorId="0">
      <text>
        <r>
          <rPr>
            <sz val="10"/>
            <rFont val="Arial"/>
            <family val="2"/>
          </rPr>
          <t xml:space="preserve">Illustrative sell-side advisory/legal fees on exit.</t>
        </r>
      </text>
    </comment>
    <comment ref="D27" authorId="0">
      <text>
        <r>
          <rPr>
            <sz val="10"/>
            <rFont val="Arial"/>
            <family val="2"/>
          </rPr>
          <t xml:space="preserve">FY2026E growth set at guidance midpoint (Qualys FY2026 revenue guidance of $717-725mm, ~7-8% growth, issued with Q4 FY2025 results). FY2027E-FY2030E assume gradual deceleration typical of a maturing ~$700mm+ ARR subscription security platform.</t>
        </r>
      </text>
    </comment>
    <comment ref="D28" authorId="0">
      <text>
        <r>
          <rPr>
            <sz val="10"/>
            <rFont val="Arial"/>
            <family val="2"/>
          </rPr>
          <t xml:space="preserve">FY2026E margin (45.0%) sits below the FY2025A LTM actual (46.8%, = $313.4mm/$669.1mm) by design, not oversight: it reflects near-term one-time costs of the take-private transition (standalone reporting/compliance build-out, change-of-control retention costs, initial carve-out from public-company systems). These costs are temporary. Margin resumes expansion from FY2027E and reaches 47.0% by FY2030E, above the pre-deal LTM level — consistent with the thesis that the underlying business does not need fixing, only a brief transition period before the target capital structure is fully in place.</t>
        </r>
      </text>
    </comment>
    <comment ref="D29" authorId="0">
      <text>
        <r>
          <rPr>
            <sz val="10"/>
            <rFont val="Arial"/>
            <family val="2"/>
          </rPr>
          <t xml:space="preserve">Simplifying assumption: D&amp;A (incl. existing capitalized software &amp; any deal-related intangible amortization) held at ~3% of revenue, broadly in line with recent historical D&amp;A intensity.</t>
        </r>
      </text>
    </comment>
    <comment ref="D30" authorId="0">
      <text>
        <r>
          <rPr>
            <sz val="10"/>
            <rFont val="Arial"/>
            <family val="2"/>
          </rPr>
          <t xml:space="preserve">In line with FY2026 capex guidance of $8-12mm (~1.1-1.7% of guided revenue) per Qualys FY2025 earnings release.</t>
        </r>
      </text>
    </comment>
    <comment ref="D31" authorId="0">
      <text>
        <r>
          <rPr>
            <sz val="10"/>
            <rFont val="Arial"/>
            <family val="2"/>
          </rPr>
          <t xml:space="preserve">Modeled as a modest cash SOURCE: subscription businesses collect cash upfront, growing deferred revenue as billings grow, which partially funds working capital. Shown as a % of the YoY change in revenue.</t>
        </r>
      </text>
    </comment>
    <comment ref="D32" authorId="0">
      <text>
        <r>
          <rPr>
            <sz val="10"/>
            <rFont val="Arial"/>
            <family val="2"/>
          </rPr>
          <t xml:space="preserve">Illustrative blended cash tax rate (U.S. federal + state); applied to pre-tax income in each projection year.</t>
        </r>
      </text>
    </comment>
  </commentList>
</comments>
</file>

<file path=xl/sharedStrings.xml><?xml version="1.0" encoding="utf-8"?>
<sst xmlns="http://schemas.openxmlformats.org/spreadsheetml/2006/main" count="185" uniqueCount="156">
  <si>
    <t xml:space="preserve">Qualys, Inc. (NASDAQ: QLYS)</t>
  </si>
  <si>
    <t xml:space="preserve">Illustrative Leveraged Buyout (LBO) Analysis</t>
  </si>
  <si>
    <t xml:space="preserve">Prepared for portfolio / interview case-study purposes — Investment Banking, Private Equity &amp; VC Analyst candidature</t>
  </si>
  <si>
    <t xml:space="preserve">Valuation / Entry Date:</t>
  </si>
  <si>
    <t xml:space="preserve">April 9, 2026</t>
  </si>
  <si>
    <t xml:space="preserve">Sector:</t>
  </si>
  <si>
    <t xml:space="preserve">Cybersecurity / Cloud IT Security &amp; Compliance (SaaS)</t>
  </si>
  <si>
    <t xml:space="preserve">Ticker / Exchange:</t>
  </si>
  <si>
    <t xml:space="preserve">QLYS / NASDAQ</t>
  </si>
  <si>
    <t xml:space="preserve">Contents</t>
  </si>
  <si>
    <t xml:space="preserve">Assumptions</t>
  </si>
  <si>
    <t xml:space="preserve">Transaction, operating, financing &amp; exit assumptions</t>
  </si>
  <si>
    <t xml:space="preserve">Sources &amp; Uses</t>
  </si>
  <si>
    <t xml:space="preserve">Purchase price funding structure at close</t>
  </si>
  <si>
    <t xml:space="preserve">Operating Model</t>
  </si>
  <si>
    <t xml:space="preserve">5-year revenue, EBITDA, and free cash flow build</t>
  </si>
  <si>
    <t xml:space="preserve">Debt Schedule</t>
  </si>
  <si>
    <t xml:space="preserve">Term Loan B amortization, cash sweep &amp; interest</t>
  </si>
  <si>
    <t xml:space="preserve">Returns Analysis</t>
  </si>
  <si>
    <t xml:space="preserve">Exit proceeds, IRR / MOIC and sensitivity tables</t>
  </si>
  <si>
    <t xml:space="preserve">Color &amp; Formatting Legend</t>
  </si>
  <si>
    <t xml:space="preserve">●</t>
  </si>
  <si>
    <t xml:space="preserve">Blue text — hardcoded input / assumption you can change</t>
  </si>
  <si>
    <t xml:space="preserve">Blue text, yellow fill — key value/return driver (flex this first)</t>
  </si>
  <si>
    <t xml:space="preserve">Black text — formula calculated within the same sheet</t>
  </si>
  <si>
    <t xml:space="preserve">Green text — formula linking to another sheet</t>
  </si>
  <si>
    <t xml:space="preserve">Key assumption</t>
  </si>
  <si>
    <t xml:space="preserve">Basis of Preparation &amp; Disclaimer</t>
  </si>
  <si>
    <t xml:space="preserve">This is an independently-built, illustrative model using Qualys' publicly reported financial results (FY2025 earnings release, Feb 5, 2026; FY2026 guidance) and third-party market data (share price, shares outstanding, cash and debt) as of on/around April 9, 2026, cited in cell comments where used. It is a hypothetical case study built to demonstrate LBO modeling technique — it is not a real transaction, is not investment advice, and Qualys is not known to be an actual buyout target. All forward-looking assumptions (growth, margins, leverage, exit multiple) are the modeler's own and are clearly flagged as editable inputs.</t>
  </si>
  <si>
    <t xml:space="preserve">Qualys, Inc. (QLYS) — LBO Model: Assumptions</t>
  </si>
  <si>
    <t xml:space="preserve">A.  Market Data &amp; LTM Financials (Entry)</t>
  </si>
  <si>
    <t xml:space="preserve">Valuation / pricing date</t>
  </si>
  <si>
    <t xml:space="preserve">4/9/2026</t>
  </si>
  <si>
    <t xml:space="preserve">Current share price ($/sh)</t>
  </si>
  <si>
    <t xml:space="preserve">Diluted shares outstanding (mm)</t>
  </si>
  <si>
    <t xml:space="preserve">Current market capitalization ($mm)</t>
  </si>
  <si>
    <t xml:space="preserve">LTM revenue — FY2025A ($mm)</t>
  </si>
  <si>
    <t xml:space="preserve">LTM Adjusted EBITDA — FY2025A ($mm)</t>
  </si>
  <si>
    <t xml:space="preserve">LTM Adjusted EBITDA margin (%)</t>
  </si>
  <si>
    <t xml:space="preserve">Cash, cash equivalents &amp; marketable securities ($mm)</t>
  </si>
  <si>
    <t xml:space="preserve">Total debt outstanding ($mm)</t>
  </si>
  <si>
    <t xml:space="preserve">Net debt / (net cash) ($mm)</t>
  </si>
  <si>
    <t xml:space="preserve">B.  Entry Valuation &amp; Take-Private Offer</t>
  </si>
  <si>
    <t xml:space="preserve">Entry EV / LTM EBITDA multiple</t>
  </si>
  <si>
    <t xml:space="preserve">Entry enterprise value ($mm)</t>
  </si>
  <si>
    <t xml:space="preserve">Plus: cash acquired (cash-free / debt-free basis) ($mm)</t>
  </si>
  <si>
    <t xml:space="preserve">Less: debt assumed ($mm)</t>
  </si>
  <si>
    <t xml:space="preserve">Implied equity purchase price ($mm)</t>
  </si>
  <si>
    <t xml:space="preserve">Implied offer price ($/share)</t>
  </si>
  <si>
    <t xml:space="preserve">Implied premium to current share price (%)</t>
  </si>
  <si>
    <t xml:space="preserve">C.  Operating Assumptions — FY2026E to FY2030E</t>
  </si>
  <si>
    <t xml:space="preserve">FY2025A (LTM)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</si>
  <si>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</si>
  <si>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</si>
  <si>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</si>
  <si>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</si>
  <si>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</si>
  <si>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Revenue growth, % YoY</t>
  </si>
  <si>
    <t xml:space="preserve">Adjusted EBITDA margin, %</t>
  </si>
  <si>
    <t xml:space="preserve">D&amp;A, % of revenue</t>
  </si>
  <si>
    <t xml:space="preserve">Capital expenditures, % of revenue</t>
  </si>
  <si>
    <t xml:space="preserve">Change in net working capital, % of Δ revenue (source)/(use)</t>
  </si>
  <si>
    <t xml:space="preserve">Cash tax rate, %</t>
  </si>
  <si>
    <t xml:space="preserve">D.  Financing Assumptions</t>
  </si>
  <si>
    <t xml:space="preserve">Entry leverage — Term Loan B (x LTM EBITDA)</t>
  </si>
  <si>
    <t xml:space="preserve">New Term Loan B ($mm)</t>
  </si>
  <si>
    <t xml:space="preserve">Term Loan B interest rate, all-in (SOFR + margin)</t>
  </si>
  <si>
    <t xml:space="preserve">Mandatory amortization, % of original principal p.a.</t>
  </si>
  <si>
    <t xml:space="preserve">Cash flow sweep, % of excess free cash flow</t>
  </si>
  <si>
    <t xml:space="preserve">Minimum cash balance retained ($mm)</t>
  </si>
  <si>
    <t xml:space="preserve">Transaction fees (advisory/legal), % of entry EV</t>
  </si>
  <si>
    <t xml:space="preserve">Financing fees, % of new debt raised</t>
  </si>
  <si>
    <t xml:space="preserve">E.  Exit Assumptions</t>
  </si>
  <si>
    <t xml:space="preserve">Hold period (years)</t>
  </si>
  <si>
    <t xml:space="preserve">Exit EV / EBITDA multiple</t>
  </si>
  <si>
    <t xml:space="preserve">Exit transaction fees, % of exit EV</t>
  </si>
  <si>
    <t xml:space="preserve">All blue cells are editable inputs; cells highlighted yellow are the primary return drivers (entry multiple, leverage and exit multiple) — flex these first to stress-test the deal.</t>
  </si>
  <si>
    <t xml:space="preserve">Qualys, Inc. (QLYS) — Sources &amp; Uses at Close</t>
  </si>
  <si>
    <t xml:space="preserve">Uses of Funds</t>
  </si>
  <si>
    <t xml:space="preserve">$mm</t>
  </si>
  <si>
    <t xml:space="preserve">Purchase of equity</t>
  </si>
  <si>
    <t xml:space="preserve">Refinance existing debt</t>
  </si>
  <si>
    <t xml:space="preserve">Transaction fees (advisory / legal)</t>
  </si>
  <si>
    <t xml:space="preserve">Financing fees (new debt)</t>
  </si>
  <si>
    <t xml:space="preserve">Total uses</t>
  </si>
  <si>
    <t xml:space="preserve">Sources of Funds</t>
  </si>
  <si>
    <t xml:space="preserve">New Term Loan B</t>
  </si>
  <si>
    <t xml:space="preserve">Cash used from target balance sheet</t>
  </si>
  <si>
    <t xml:space="preserve">Sponsor (PE fund) equity — plug</t>
  </si>
  <si>
    <t xml:space="preserve">Total sources</t>
  </si>
  <si>
    <t xml:space="preserve">Checks &amp; Capitalization</t>
  </si>
  <si>
    <t xml:space="preserve">Check: total sources − total uses (should be $0)</t>
  </si>
  <si>
    <t xml:space="preserve">Entry leverage (Debt / LTM EBITDA)</t>
  </si>
  <si>
    <t xml:space="preserve">Sponsor equity as % of total capitalization</t>
  </si>
  <si>
    <t xml:space="preserve">Debt as % of total capitalization</t>
  </si>
  <si>
    <t xml:space="preserve">Sponsor equity is solved as the plug needed to fund total uses after new debt and target balance-sheet cash. This equity check is a standard sanity test on every LBO Sources &amp; Uses table.</t>
  </si>
  <si>
    <t xml:space="preserve">Qualys, Inc. (QLYS) — Operating Model &amp; Free Cash Flow Build ($mm)</t>
  </si>
  <si>
    <t xml:space="preserve">Income Statement</t>
  </si>
  <si>
    <t xml:space="preserve">Revenue</t>
  </si>
  <si>
    <t xml:space="preserve">Adjusted EBITDA</t>
  </si>
  <si>
    <t xml:space="preserve">Less: depreciation &amp; amortization</t>
  </si>
  <si>
    <t xml:space="preserve">EBIT</t>
  </si>
  <si>
    <t xml:space="preserve">Less: cash interest expense</t>
  </si>
  <si>
    <t xml:space="preserve">Pre-tax income (EBT)</t>
  </si>
  <si>
    <t xml:space="preserve">Less: cash taxes</t>
  </si>
  <si>
    <t xml:space="preserve">Net income</t>
  </si>
  <si>
    <t xml:space="preserve">Free Cash Flow Available for Debt Repayment</t>
  </si>
  <si>
    <t xml:space="preserve">Less: capital expenditures</t>
  </si>
  <si>
    <t xml:space="preserve">Plus/(less): change in net working capital</t>
  </si>
  <si>
    <t xml:space="preserve">Less: mandatory debt amortization</t>
  </si>
  <si>
    <t xml:space="preserve">Cash flow available for optional debt repayment</t>
  </si>
  <si>
    <t xml:space="preserve">Optional prepayment (cash flow sweep)</t>
  </si>
  <si>
    <t xml:space="preserve">Increase / (decrease) in cash balance</t>
  </si>
  <si>
    <t xml:space="preserve">Interest expense and debt paydown are linked from the Debt Schedule tab, which sizes cash interest off the beginning-of-year loan balance (no circularity: prior-year ending balance is known at the start of each period).</t>
  </si>
  <si>
    <t xml:space="preserve">Qualys, Inc. (QLYS) — Term Loan B Debt Schedule ($mm)</t>
  </si>
  <si>
    <t xml:space="preserve">100% cash flow sweep after mandatory amortization, capex, cash interest and cash taxes. Interest accrues on the beginning-of-year balance (no circularity).</t>
  </si>
  <si>
    <t xml:space="preserve">At Close</t>
  </si>
  <si>
    <t xml:space="preserve">Beginning Term Loan B balance</t>
  </si>
  <si>
    <t xml:space="preserve">Interest rate, all-in</t>
  </si>
  <si>
    <t xml:space="preserve">Cash interest expense</t>
  </si>
  <si>
    <t xml:space="preserve">Mandatory amortization</t>
  </si>
  <si>
    <t xml:space="preserve">Cash Available for Optional Prepayment</t>
  </si>
  <si>
    <t xml:space="preserve">Less: mandatory amortization</t>
  </si>
  <si>
    <t xml:space="preserve">Cash flow available for optional prepayment</t>
  </si>
  <si>
    <t xml:space="preserve">Ending Term Loan B balance</t>
  </si>
  <si>
    <t xml:space="preserve">Total debt / LTM EBITDA at year-end</t>
  </si>
  <si>
    <t xml:space="preserve">Cash interest is computed on the beginning-of-year balance to avoid a circular reference; this is a standard simplification versus an average-balance or fully circular approach.</t>
  </si>
  <si>
    <t xml:space="preserve">Qualys, Inc. (QLYS) — Exit Proceeds, IRR &amp; MOIC</t>
  </si>
  <si>
    <t xml:space="preserve">Base Case Exit (Year 5 / FY2030E)</t>
  </si>
  <si>
    <t xml:space="preserve">Exit year Adjusted EBITDA (FY2030E)</t>
  </si>
  <si>
    <t xml:space="preserve">Exit enterprise value</t>
  </si>
  <si>
    <t xml:space="preserve">Less: net debt at exit</t>
  </si>
  <si>
    <t xml:space="preserve">Less: exit transaction fees</t>
  </si>
  <si>
    <t xml:space="preserve">Plus: minimum cash balance retained</t>
  </si>
  <si>
    <t xml:space="preserve">Exit equity value to sponsor</t>
  </si>
  <si>
    <t xml:space="preserve">Sponsor Returns</t>
  </si>
  <si>
    <t xml:space="preserve">Sponsor initial equity investment (Year 0)</t>
  </si>
  <si>
    <t xml:space="preserve">Exit equity value to sponsor (Year 5)</t>
  </si>
  <si>
    <t xml:space="preserve">Multiple of invested capital (MOIC)</t>
  </si>
  <si>
    <t xml:space="preserve">Gross IRR</t>
  </si>
  <si>
    <t xml:space="preserve">Cash-flow check (Year 0–Year 5) for Excel IRR() verification</t>
  </si>
  <si>
    <t xml:space="preserve">IRR (Excel IRR function, cross-check)</t>
  </si>
  <si>
    <t xml:space="preserve">Sensitivity: Entry Leverage vs. Exit Multiple</t>
  </si>
  <si>
    <t xml:space="preserve">Approximation: holds Year-5 EBITDA and the pace of debt paydown (mandatory amortization + cumulative FCF sweep capacity) constant across leverage scenarios, i.e. it assumes the modest change in interest expense from a different starting debt load does not materially change cumulative free cash flow available for sweep over the hold. Everything else flexes dynamically from the assumptions above.</t>
  </si>
  <si>
    <t xml:space="preserve">Helper calcs →</t>
  </si>
  <si>
    <t xml:space="preserve">Entry leverage (x EBITDA)</t>
  </si>
  <si>
    <t xml:space="preserve">Entry Term Loan B ($mm)</t>
  </si>
  <si>
    <t xml:space="preserve">Financing fees ($mm)</t>
  </si>
  <si>
    <t xml:space="preserve">Total uses ($mm)</t>
  </si>
  <si>
    <t xml:space="preserve">Sponsor equity ($mm)</t>
  </si>
  <si>
    <t xml:space="preserve">Cumulative 5-yr debt paydown capacity ($mm)</t>
  </si>
  <si>
    <t xml:space="preserve">Year-5 debt at this leverage ($mm)</t>
  </si>
  <si>
    <t xml:space="preserve">Gross IRR grid</t>
  </si>
  <si>
    <t xml:space="preserve">Exit multiple ↓  /  Entry leverage →</t>
  </si>
  <si>
    <t xml:space="preserve">MOIC grid</t>
  </si>
  <si>
    <t xml:space="preserve">Highlighted row = base-case 10.0x exit multiple. Base case (10.0x exit / 4.5x entry leverage) ties out to the Gross IRR and MOIC computed above.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</si>
</sst>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#,##0.0"/>
    <numFmt numFmtId="167" formatCode="\$#,##0;&quot;($&quot;#,##0\);\-"/>
    <numFmt numFmtId="168" formatCode="0.0%"/>
    <numFmt numFmtId="169" formatCode="0.00\x"/>
    <numFmt numFmtId="170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937"/>
      <name val="Arial"/>
      <family val="0"/>
      <charset val="1"/>
    </font>
    <font>
      <i val="true"/>
      <sz val="12"/>
      <color rgb="FF4B5563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name val="Arial"/>
      <family val="0"/>
      <charset val="1"/>
    </font>
    <font>
      <i val="true"/>
      <sz val="9.5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.5"/>
      <color rgb="FF6B7280"/>
      <name val="Arial"/>
      <family val="0"/>
      <charset val="1"/>
    </font>
    <font>
      <sz val="10"/>
      <name val="Arial"/>
      <family val="2"/>
    </font>
    <font>
      <b val="true"/>
      <sz val="10"/>
      <color rgb="FF4C1D9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74151"/>
      </patternFill>
    </fill>
    <fill>
      <patternFill patternType="solid">
        <fgColor rgb="FFFFFF00"/>
        <bgColor rgb="FFFFFF00"/>
      </patternFill>
    </fill>
    <fill>
      <patternFill patternType="solid">
        <fgColor rgb="FF5B21B6"/>
        <bgColor rgb="FF4C1D95"/>
      </patternFill>
    </fill>
    <fill>
      <patternFill patternType="solid">
        <fgColor rgb="FF374151"/>
        <bgColor rgb="FF4B5563"/>
      </patternFill>
    </fill>
    <fill>
      <patternFill patternType="solid">
        <fgColor rgb="FFD1FAE5"/>
        <bgColor rgb="FFCCFFFF"/>
      </patternFill>
    </fill>
    <fill>
      <patternFill patternType="solid">
        <fgColor rgb="FFEDE9FE"/>
        <bgColor rgb="FFF3F4F6"/>
      </patternFill>
    </fill>
    <fill>
      <patternFill patternType="solid">
        <fgColor rgb="FFF3F4F6"/>
        <bgColor rgb="FFEDE9F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7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5B21B6"/>
      <rgbColor rgb="FF008080"/>
      <rgbColor rgb="FFC0C0C0"/>
      <rgbColor rgb="FF4B5563"/>
      <rgbColor rgb="FFA78BFA"/>
      <rgbColor rgb="FF7C3AED"/>
      <rgbColor rgb="FFF3F4F6"/>
      <rgbColor rgb="FFEDE9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6D28D9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8B5CF6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74151"/>
      <rgbColor rgb="FF993300"/>
      <rgbColor rgb="FF993366"/>
      <rgbColor rgb="FF4C1D9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true"/>
  </sheetPr>
  <dimension ref="B3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4" min="2" style="1" width="30"/>
    <col collapsed="false" customWidth="true" hidden="false" outlineLevel="0" max="5" min="5" style="1" width="20"/>
    <col collapsed="false" customWidth="true" hidden="false" outlineLevel="0" max="6" min="6" style="1" width="3"/>
  </cols>
  <sheetData>
    <row r="3" customFormat="false" ht="15.75" hidden="false" customHeight="true" outlineLevel="0" collapsed="false">
      <c r="B3" s="2" t="s">
        <v>0</v>
      </c>
      <c r="C3" s="2"/>
      <c r="D3" s="2"/>
      <c r="E3" s="2"/>
    </row>
    <row r="4" customFormat="false" ht="15.75" hidden="false" customHeight="true" outlineLevel="0" collapsed="false">
      <c r="B4" s="3" t="s">
        <v>1</v>
      </c>
      <c r="C4" s="3"/>
      <c r="D4" s="3"/>
      <c r="E4" s="3"/>
    </row>
    <row r="5" customFormat="false" ht="15.75" hidden="false" customHeight="true" outlineLevel="0" collapsed="false"/>
    <row r="6" customFormat="false" ht="15.75" hidden="false" customHeight="true" outlineLevel="0" collapsed="false">
      <c r="B6" s="4" t="s">
        <v>2</v>
      </c>
      <c r="C6" s="4"/>
      <c r="D6" s="4"/>
      <c r="E6" s="4"/>
    </row>
    <row r="7" customFormat="false" ht="15.75" hidden="false" customHeight="true" outlineLevel="0" collapsed="false"/>
    <row r="8" customFormat="false" ht="15.75" hidden="false" customHeight="true" outlineLevel="0" collapsed="false">
      <c r="B8" s="5" t="s">
        <v>3</v>
      </c>
      <c r="C8" s="6" t="s">
        <v>4</v>
      </c>
    </row>
    <row r="9" customFormat="false" ht="15.75" hidden="false" customHeight="true" outlineLevel="0" collapsed="false">
      <c r="B9" s="5" t="s">
        <v>5</v>
      </c>
      <c r="C9" s="1" t="s">
        <v>6</v>
      </c>
    </row>
    <row r="10" customFormat="false" ht="15.75" hidden="false" customHeight="true" outlineLevel="0" collapsed="false">
      <c r="B10" s="5" t="s">
        <v>7</v>
      </c>
      <c r="C10" s="1" t="s">
        <v>8</v>
      </c>
    </row>
    <row r="11" customFormat="false" ht="15.75" hidden="false" customHeight="true" outlineLevel="0" collapsed="false"/>
    <row r="12" customFormat="false" ht="15.75" hidden="false" customHeight="true" outlineLevel="0" collapsed="false">
      <c r="B12" s="7" t="s">
        <v>9</v>
      </c>
      <c r="C12" s="8"/>
      <c r="D12" s="8"/>
      <c r="E12" s="8"/>
    </row>
    <row r="13" customFormat="false" ht="15.75" hidden="false" customHeight="true" outlineLevel="0" collapsed="false">
      <c r="B13" s="5" t="s">
        <v>10</v>
      </c>
      <c r="C13" s="9" t="s">
        <v>11</v>
      </c>
      <c r="D13" s="9"/>
      <c r="E13" s="9"/>
    </row>
    <row r="14" customFormat="false" ht="15.75" hidden="false" customHeight="true" outlineLevel="0" collapsed="false">
      <c r="B14" s="5" t="s">
        <v>12</v>
      </c>
      <c r="C14" s="9" t="s">
        <v>13</v>
      </c>
      <c r="D14" s="9"/>
      <c r="E14" s="9"/>
    </row>
    <row r="15" customFormat="false" ht="15.75" hidden="false" customHeight="true" outlineLevel="0" collapsed="false">
      <c r="B15" s="5" t="s">
        <v>14</v>
      </c>
      <c r="C15" s="9" t="s">
        <v>15</v>
      </c>
      <c r="D15" s="9"/>
      <c r="E15" s="9"/>
    </row>
    <row r="16" customFormat="false" ht="15.75" hidden="false" customHeight="true" outlineLevel="0" collapsed="false">
      <c r="B16" s="5" t="s">
        <v>16</v>
      </c>
      <c r="C16" s="9" t="s">
        <v>17</v>
      </c>
      <c r="D16" s="9"/>
      <c r="E16" s="9"/>
    </row>
    <row r="17" customFormat="false" ht="15.75" hidden="false" customHeight="true" outlineLevel="0" collapsed="false">
      <c r="B17" s="5" t="s">
        <v>18</v>
      </c>
      <c r="C17" s="9" t="s">
        <v>19</v>
      </c>
      <c r="D17" s="9"/>
      <c r="E17" s="9"/>
    </row>
    <row r="18" customFormat="false" ht="15.75" hidden="false" customHeight="true" outlineLevel="0" collapsed="false"/>
    <row r="19" customFormat="false" ht="15.75" hidden="false" customHeight="true" outlineLevel="0" collapsed="false">
      <c r="B19" s="7" t="s">
        <v>20</v>
      </c>
      <c r="C19" s="8"/>
      <c r="D19" s="8"/>
      <c r="E19" s="8"/>
    </row>
    <row r="20" customFormat="false" ht="15.75" hidden="false" customHeight="true" outlineLevel="0" collapsed="false">
      <c r="B20" s="6" t="s">
        <v>21</v>
      </c>
      <c r="C20" s="9" t="s">
        <v>22</v>
      </c>
      <c r="D20" s="9"/>
      <c r="E20" s="9"/>
    </row>
    <row r="21" customFormat="false" ht="15.75" hidden="false" customHeight="true" outlineLevel="0" collapsed="false">
      <c r="B21" s="10" t="s">
        <v>21</v>
      </c>
      <c r="C21" s="9" t="s">
        <v>23</v>
      </c>
      <c r="D21" s="9"/>
      <c r="E21" s="9"/>
    </row>
    <row r="22" customFormat="false" ht="15.75" hidden="false" customHeight="true" outlineLevel="0" collapsed="false">
      <c r="B22" s="11" t="s">
        <v>21</v>
      </c>
      <c r="C22" s="9" t="s">
        <v>24</v>
      </c>
      <c r="D22" s="9"/>
      <c r="E22" s="9"/>
    </row>
    <row r="23" customFormat="false" ht="15.75" hidden="false" customHeight="true" outlineLevel="0" collapsed="false">
      <c r="B23" s="12" t="s">
        <v>21</v>
      </c>
      <c r="C23" s="9" t="s">
        <v>25</v>
      </c>
      <c r="D23" s="9"/>
      <c r="E23" s="9"/>
    </row>
    <row r="24" customFormat="false" ht="15.75" hidden="false" customHeight="true" outlineLevel="0" collapsed="false">
      <c r="B24" s="13" t="s">
        <v>26</v>
      </c>
    </row>
    <row r="25" customFormat="false" ht="15.75" hidden="false" customHeight="true" outlineLevel="0" collapsed="false"/>
    <row r="26" customFormat="false" ht="15.75" hidden="false" customHeight="true" outlineLevel="0" collapsed="false">
      <c r="B26" s="7" t="s">
        <v>27</v>
      </c>
      <c r="C26" s="8"/>
      <c r="D26" s="8"/>
      <c r="E26" s="8"/>
    </row>
    <row r="27" customFormat="false" ht="15.75" hidden="false" customHeight="true" outlineLevel="0" collapsed="false">
      <c r="B27" s="14" t="s">
        <v>28</v>
      </c>
      <c r="C27" s="14"/>
      <c r="D27" s="14"/>
      <c r="E27" s="14"/>
    </row>
    <row r="28" customFormat="false" ht="15.75" hidden="false" customHeight="true" outlineLevel="0" collapsed="false">
      <c r="B28" s="14"/>
      <c r="C28" s="14"/>
      <c r="D28" s="14"/>
      <c r="E28" s="14"/>
    </row>
    <row r="29" customFormat="false" ht="15.75" hidden="false" customHeight="true" outlineLevel="0" collapsed="false">
      <c r="B29" s="14"/>
      <c r="C29" s="14"/>
      <c r="D29" s="14"/>
      <c r="E29" s="14"/>
    </row>
    <row r="30" customFormat="false" ht="15.75" hidden="false" customHeight="true" outlineLevel="0" collapsed="false">
      <c r="B30" s="14"/>
      <c r="C30" s="14"/>
      <c r="D30" s="14"/>
      <c r="E30" s="14"/>
    </row>
    <row r="31" customFormat="false" ht="15.75" hidden="false" customHeight="true" outlineLevel="0" collapsed="false">
      <c r="B31" s="14"/>
      <c r="C31" s="14"/>
      <c r="D31" s="14"/>
      <c r="E31" s="14"/>
    </row>
    <row r="32" customFormat="false" ht="15.75" hidden="false" customHeight="true" outlineLevel="0" collapsed="false">
      <c r="B32" s="14"/>
      <c r="C32" s="14"/>
      <c r="D32" s="14"/>
      <c r="E32" s="14"/>
    </row>
  </sheetData>
  <mergeCells count="13">
    <mergeCell ref="B3:E3"/>
    <mergeCell ref="B4:E4"/>
    <mergeCell ref="B6:E6"/>
    <mergeCell ref="C13:E13"/>
    <mergeCell ref="C14:E14"/>
    <mergeCell ref="C15:E15"/>
    <mergeCell ref="C16:E16"/>
    <mergeCell ref="C17:E17"/>
    <mergeCell ref="C20:E20"/>
    <mergeCell ref="C21:E21"/>
    <mergeCell ref="C22:E22"/>
    <mergeCell ref="C23:E23"/>
    <mergeCell ref="B27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21B6"/>
    <pageSetUpPr fitToPage="true"/>
  </sheetPr>
  <dimension ref="B2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2"/>
    <col collapsed="false" customWidth="true" hidden="false" outlineLevel="0" max="8" min="3" style="1" width="15"/>
    <col collapsed="false" customWidth="true" hidden="false" outlineLevel="0" max="9" min="9" style="1" width="3"/>
  </cols>
  <sheetData>
    <row r="2" customFormat="false" ht="17.25" hidden="false" customHeight="true" outlineLevel="0" collapsed="false">
      <c r="B2" s="15" t="s">
        <v>29</v>
      </c>
      <c r="C2" s="15"/>
      <c r="D2" s="15"/>
      <c r="E2" s="15"/>
      <c r="F2" s="15"/>
      <c r="G2" s="15"/>
      <c r="H2" s="15"/>
    </row>
    <row r="4" customFormat="false" ht="19.5" hidden="false" customHeight="true" outlineLevel="0" collapsed="false">
      <c r="B4" s="16" t="s">
        <v>30</v>
      </c>
      <c r="C4" s="17"/>
      <c r="D4" s="17"/>
      <c r="E4" s="17"/>
      <c r="F4" s="17"/>
      <c r="G4" s="17"/>
    </row>
    <row r="5" customFormat="false" ht="15" hidden="false" customHeight="true" outlineLevel="0" collapsed="false">
      <c r="B5" s="18" t="s">
        <v>31</v>
      </c>
      <c r="C5" s="6" t="s">
        <v>32</v>
      </c>
    </row>
    <row r="6" customFormat="false" ht="15" hidden="false" customHeight="true" outlineLevel="0" collapsed="false">
      <c r="B6" s="18" t="s">
        <v>33</v>
      </c>
      <c r="C6" s="19" t="n">
        <v>76.14</v>
      </c>
    </row>
    <row r="7" customFormat="false" ht="15" hidden="false" customHeight="true" outlineLevel="0" collapsed="false">
      <c r="B7" s="18" t="s">
        <v>34</v>
      </c>
      <c r="C7" s="20" t="n">
        <v>36.3</v>
      </c>
    </row>
    <row r="8" customFormat="false" ht="15" hidden="false" customHeight="true" outlineLevel="0" collapsed="false">
      <c r="B8" s="18" t="s">
        <v>35</v>
      </c>
      <c r="C8" s="21" t="n">
        <f aca="false">C6*C7</f>
        <v>2763.882</v>
      </c>
    </row>
    <row r="9" customFormat="false" ht="15" hidden="false" customHeight="true" outlineLevel="0" collapsed="false">
      <c r="B9" s="18" t="s">
        <v>36</v>
      </c>
      <c r="C9" s="22" t="n">
        <v>669.1</v>
      </c>
    </row>
    <row r="10" customFormat="false" ht="15" hidden="false" customHeight="true" outlineLevel="0" collapsed="false">
      <c r="B10" s="18" t="s">
        <v>37</v>
      </c>
      <c r="C10" s="22" t="n">
        <v>313.4</v>
      </c>
    </row>
    <row r="11" customFormat="false" ht="15" hidden="false" customHeight="true" outlineLevel="0" collapsed="false">
      <c r="B11" s="18" t="s">
        <v>38</v>
      </c>
      <c r="C11" s="23" t="n">
        <f aca="false">C10/C9</f>
        <v>0.468390375130773</v>
      </c>
    </row>
    <row r="12" customFormat="false" ht="15" hidden="false" customHeight="true" outlineLevel="0" collapsed="false">
      <c r="B12" s="18" t="s">
        <v>39</v>
      </c>
      <c r="C12" s="22" t="n">
        <v>445.9</v>
      </c>
    </row>
    <row r="13" customFormat="false" ht="15" hidden="false" customHeight="true" outlineLevel="0" collapsed="false">
      <c r="B13" s="18" t="s">
        <v>40</v>
      </c>
      <c r="C13" s="22" t="n">
        <v>0</v>
      </c>
    </row>
    <row r="14" customFormat="false" ht="15" hidden="false" customHeight="true" outlineLevel="0" collapsed="false">
      <c r="B14" s="24" t="s">
        <v>41</v>
      </c>
      <c r="C14" s="21" t="n">
        <f aca="false">C13-C12</f>
        <v>-445.9</v>
      </c>
    </row>
    <row r="16" customFormat="false" ht="19.5" hidden="false" customHeight="true" outlineLevel="0" collapsed="false">
      <c r="B16" s="16" t="s">
        <v>42</v>
      </c>
      <c r="C16" s="17"/>
      <c r="D16" s="17"/>
      <c r="E16" s="17"/>
      <c r="F16" s="17"/>
      <c r="G16" s="17"/>
    </row>
    <row r="17" customFormat="false" ht="15" hidden="false" customHeight="true" outlineLevel="0" collapsed="false">
      <c r="B17" s="5" t="s">
        <v>43</v>
      </c>
      <c r="C17" s="25" t="n">
        <v>10</v>
      </c>
    </row>
    <row r="18" customFormat="false" ht="15" hidden="false" customHeight="true" outlineLevel="0" collapsed="false">
      <c r="B18" s="18" t="s">
        <v>44</v>
      </c>
      <c r="C18" s="21" t="n">
        <f aca="false">C17*C10</f>
        <v>3134</v>
      </c>
    </row>
    <row r="19" customFormat="false" ht="15" hidden="false" customHeight="true" outlineLevel="0" collapsed="false">
      <c r="B19" s="18" t="s">
        <v>45</v>
      </c>
      <c r="C19" s="21" t="n">
        <f aca="false">C12</f>
        <v>445.9</v>
      </c>
    </row>
    <row r="20" customFormat="false" ht="15" hidden="false" customHeight="true" outlineLevel="0" collapsed="false">
      <c r="B20" s="18" t="s">
        <v>46</v>
      </c>
      <c r="C20" s="21" t="n">
        <f aca="false">-C13</f>
        <v>-0</v>
      </c>
    </row>
    <row r="21" customFormat="false" ht="15" hidden="false" customHeight="true" outlineLevel="0" collapsed="false">
      <c r="B21" s="5" t="s">
        <v>47</v>
      </c>
      <c r="C21" s="26" t="n">
        <f aca="false">C18+C19+C20</f>
        <v>3579.9</v>
      </c>
    </row>
    <row r="22" customFormat="false" ht="15" hidden="false" customHeight="true" outlineLevel="0" collapsed="false">
      <c r="B22" s="18" t="s">
        <v>48</v>
      </c>
      <c r="C22" s="27" t="n">
        <f aca="false">C21/C7</f>
        <v>98.6198347107438</v>
      </c>
    </row>
    <row r="23" customFormat="false" ht="15" hidden="false" customHeight="true" outlineLevel="0" collapsed="false">
      <c r="B23" s="18" t="s">
        <v>49</v>
      </c>
      <c r="C23" s="23" t="n">
        <f aca="false">C22/C6-1</f>
        <v>0.295243429350457</v>
      </c>
    </row>
    <row r="25" customFormat="false" ht="19.5" hidden="false" customHeight="true" outlineLevel="0" collapsed="false">
      <c r="B25" s="16" t="s">
        <v>50</v>
      </c>
      <c r="C25" s="17"/>
      <c r="D25" s="17"/>
      <c r="E25" s="17"/>
      <c r="F25" s="17"/>
      <c r="G25" s="17"/>
    </row>
    <row r="26" customFormat="false" ht="15" hidden="false" customHeight="true" outlineLevel="0" collapsed="false">
      <c r="C26" s="28" t="s">
        <v>51</v>
      </c>
      <c r="D26" s="28" t="s">
        <v>52</v>
      </c>
      <c r="E26" s="28" t="s">
        <v>53</v>
      </c>
      <c r="F26" s="28" t="s">
        <v>54</v>
      </c>
      <c r="G26" s="28" t="s">
        <v>55</v>
      </c>
      <c r="H26" s="28" t="s">
        <v>56</v>
      </c>
    </row>
    <row r="27" customFormat="false" ht="15" hidden="false" customHeight="true" outlineLevel="0" collapsed="false">
      <c r="B27" s="18" t="s">
        <v>57</v>
      </c>
      <c r="D27" s="29" t="n">
        <v>0.077</v>
      </c>
      <c r="E27" s="29" t="n">
        <v>0.08</v>
      </c>
      <c r="F27" s="29" t="n">
        <v>0.08</v>
      </c>
      <c r="G27" s="29" t="n">
        <v>0.075</v>
      </c>
      <c r="H27" s="29" t="n">
        <v>0.07</v>
      </c>
    </row>
    <row r="28" customFormat="false" ht="15" hidden="false" customHeight="true" outlineLevel="0" collapsed="false">
      <c r="B28" s="18" t="s">
        <v>58</v>
      </c>
      <c r="D28" s="29" t="n">
        <v>0.45</v>
      </c>
      <c r="E28" s="29" t="n">
        <v>0.455</v>
      </c>
      <c r="F28" s="29" t="n">
        <v>0.46</v>
      </c>
      <c r="G28" s="29" t="n">
        <v>0.465</v>
      </c>
      <c r="H28" s="29" t="n">
        <v>0.47</v>
      </c>
    </row>
    <row r="29" customFormat="false" ht="15" hidden="false" customHeight="true" outlineLevel="0" collapsed="false">
      <c r="B29" s="18" t="s">
        <v>59</v>
      </c>
      <c r="D29" s="29" t="n">
        <v>0.03</v>
      </c>
      <c r="E29" s="29" t="n">
        <v>0.03</v>
      </c>
      <c r="F29" s="29" t="n">
        <v>0.03</v>
      </c>
      <c r="G29" s="29" t="n">
        <v>0.03</v>
      </c>
      <c r="H29" s="29" t="n">
        <v>0.03</v>
      </c>
    </row>
    <row r="30" customFormat="false" ht="15" hidden="false" customHeight="true" outlineLevel="0" collapsed="false">
      <c r="B30" s="18" t="s">
        <v>60</v>
      </c>
      <c r="D30" s="29" t="n">
        <v>0.015</v>
      </c>
      <c r="E30" s="29" t="n">
        <v>0.015</v>
      </c>
      <c r="F30" s="29" t="n">
        <v>0.015</v>
      </c>
      <c r="G30" s="29" t="n">
        <v>0.015</v>
      </c>
      <c r="H30" s="29" t="n">
        <v>0.015</v>
      </c>
    </row>
    <row r="31" customFormat="false" ht="15" hidden="false" customHeight="true" outlineLevel="0" collapsed="false">
      <c r="B31" s="18" t="s">
        <v>61</v>
      </c>
      <c r="D31" s="29" t="n">
        <v>0.02</v>
      </c>
      <c r="E31" s="29" t="n">
        <v>0.02</v>
      </c>
      <c r="F31" s="29" t="n">
        <v>0.02</v>
      </c>
      <c r="G31" s="29" t="n">
        <v>0.02</v>
      </c>
      <c r="H31" s="29" t="n">
        <v>0.02</v>
      </c>
    </row>
    <row r="32" customFormat="false" ht="15" hidden="false" customHeight="true" outlineLevel="0" collapsed="false">
      <c r="B32" s="18" t="s">
        <v>62</v>
      </c>
      <c r="D32" s="30" t="n">
        <v>0.25</v>
      </c>
    </row>
    <row r="34" customFormat="false" ht="19.5" hidden="false" customHeight="true" outlineLevel="0" collapsed="false">
      <c r="B34" s="16" t="s">
        <v>63</v>
      </c>
      <c r="C34" s="17"/>
      <c r="D34" s="17"/>
      <c r="E34" s="17"/>
      <c r="F34" s="17"/>
      <c r="G34" s="17"/>
    </row>
    <row r="35" customFormat="false" ht="15" hidden="false" customHeight="true" outlineLevel="0" collapsed="false">
      <c r="B35" s="5" t="s">
        <v>64</v>
      </c>
      <c r="C35" s="25" t="n">
        <v>4.5</v>
      </c>
    </row>
    <row r="36" customFormat="false" ht="15" hidden="false" customHeight="true" outlineLevel="0" collapsed="false">
      <c r="B36" s="18" t="s">
        <v>65</v>
      </c>
      <c r="C36" s="21" t="n">
        <f aca="false">C35*C10</f>
        <v>1410.3</v>
      </c>
    </row>
    <row r="37" customFormat="false" ht="15" hidden="false" customHeight="true" outlineLevel="0" collapsed="false">
      <c r="B37" s="18" t="s">
        <v>66</v>
      </c>
      <c r="C37" s="29" t="n">
        <v>0.085</v>
      </c>
    </row>
    <row r="38" customFormat="false" ht="15" hidden="false" customHeight="true" outlineLevel="0" collapsed="false">
      <c r="B38" s="18" t="s">
        <v>67</v>
      </c>
      <c r="C38" s="29" t="n">
        <v>0.01</v>
      </c>
    </row>
    <row r="39" customFormat="false" ht="15" hidden="false" customHeight="true" outlineLevel="0" collapsed="false">
      <c r="B39" s="18" t="s">
        <v>68</v>
      </c>
      <c r="C39" s="29" t="n">
        <v>1</v>
      </c>
    </row>
    <row r="40" customFormat="false" ht="15" hidden="false" customHeight="true" outlineLevel="0" collapsed="false">
      <c r="B40" s="18" t="s">
        <v>69</v>
      </c>
      <c r="C40" s="22" t="n">
        <v>50</v>
      </c>
    </row>
    <row r="41" customFormat="false" ht="15" hidden="false" customHeight="true" outlineLevel="0" collapsed="false">
      <c r="B41" s="18" t="s">
        <v>70</v>
      </c>
      <c r="C41" s="29" t="n">
        <v>0.015</v>
      </c>
    </row>
    <row r="42" customFormat="false" ht="15" hidden="false" customHeight="true" outlineLevel="0" collapsed="false">
      <c r="B42" s="18" t="s">
        <v>71</v>
      </c>
      <c r="C42" s="29" t="n">
        <v>0.02</v>
      </c>
    </row>
    <row r="44" customFormat="false" ht="19.5" hidden="false" customHeight="true" outlineLevel="0" collapsed="false">
      <c r="B44" s="16" t="s">
        <v>72</v>
      </c>
      <c r="C44" s="17"/>
      <c r="D44" s="17"/>
      <c r="E44" s="17"/>
      <c r="F44" s="17"/>
      <c r="G44" s="17"/>
    </row>
    <row r="45" customFormat="false" ht="15" hidden="false" customHeight="true" outlineLevel="0" collapsed="false">
      <c r="B45" s="18" t="s">
        <v>73</v>
      </c>
      <c r="C45" s="31" t="n">
        <v>5</v>
      </c>
    </row>
    <row r="46" customFormat="false" ht="15" hidden="false" customHeight="true" outlineLevel="0" collapsed="false">
      <c r="B46" s="5" t="s">
        <v>74</v>
      </c>
      <c r="C46" s="25" t="n">
        <v>10</v>
      </c>
    </row>
    <row r="47" customFormat="false" ht="15" hidden="false" customHeight="true" outlineLevel="0" collapsed="false">
      <c r="B47" s="18" t="s">
        <v>75</v>
      </c>
      <c r="C47" s="29" t="n">
        <v>0.01</v>
      </c>
    </row>
    <row r="49" customFormat="false" ht="15" hidden="false" customHeight="true" outlineLevel="0" collapsed="false">
      <c r="B49" s="32" t="s">
        <v>76</v>
      </c>
      <c r="C49" s="32"/>
      <c r="D49" s="32"/>
      <c r="E49" s="32"/>
      <c r="F49" s="32"/>
      <c r="G49" s="32"/>
    </row>
  </sheetData>
  <mergeCells count="2">
    <mergeCell ref="B2:H2"/>
    <mergeCell ref="B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28D9"/>
    <pageSetUpPr fitToPage="true"/>
  </sheetPr>
  <dimension ref="B2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4" min="3" style="1" width="16"/>
    <col collapsed="false" customWidth="true" hidden="false" outlineLevel="0" max="5" min="5" style="1" width="3"/>
  </cols>
  <sheetData>
    <row r="2" customFormat="false" ht="17.25" hidden="false" customHeight="true" outlineLevel="0" collapsed="false">
      <c r="B2" s="15" t="s">
        <v>77</v>
      </c>
      <c r="C2" s="15"/>
      <c r="D2" s="15"/>
    </row>
    <row r="4" customFormat="false" ht="19.5" hidden="false" customHeight="true" outlineLevel="0" collapsed="false">
      <c r="B4" s="16" t="s">
        <v>78</v>
      </c>
      <c r="C4" s="17"/>
      <c r="D4" s="17"/>
    </row>
    <row r="5" customFormat="false" ht="15" hidden="false" customHeight="true" outlineLevel="0" collapsed="false">
      <c r="B5" s="5" t="s">
        <v>79</v>
      </c>
      <c r="C5" s="5"/>
    </row>
    <row r="6" customFormat="false" ht="15" hidden="false" customHeight="true" outlineLevel="0" collapsed="false">
      <c r="B6" s="18" t="s">
        <v>80</v>
      </c>
      <c r="C6" s="33" t="n">
        <f aca="false">Assumptions!C21</f>
        <v>3579.9</v>
      </c>
    </row>
    <row r="7" customFormat="false" ht="15" hidden="false" customHeight="true" outlineLevel="0" collapsed="false">
      <c r="B7" s="18" t="s">
        <v>81</v>
      </c>
      <c r="C7" s="33" t="n">
        <f aca="false">Assumptions!C13</f>
        <v>0</v>
      </c>
    </row>
    <row r="8" customFormat="false" ht="15" hidden="false" customHeight="true" outlineLevel="0" collapsed="false">
      <c r="B8" s="18" t="s">
        <v>82</v>
      </c>
      <c r="C8" s="33" t="n">
        <f aca="false">Assumptions!C18*Assumptions!C41</f>
        <v>47.01</v>
      </c>
    </row>
    <row r="9" customFormat="false" ht="15" hidden="false" customHeight="true" outlineLevel="0" collapsed="false">
      <c r="B9" s="18" t="s">
        <v>83</v>
      </c>
      <c r="C9" s="33" t="n">
        <f aca="false">C14*Assumptions!C42</f>
        <v>28.206</v>
      </c>
    </row>
    <row r="10" customFormat="false" ht="15" hidden="false" customHeight="true" outlineLevel="0" collapsed="false">
      <c r="B10" s="34" t="s">
        <v>84</v>
      </c>
      <c r="C10" s="35" t="n">
        <f aca="false">SUM(C6:C9)</f>
        <v>3655.116</v>
      </c>
    </row>
    <row r="12" customFormat="false" ht="19.5" hidden="false" customHeight="true" outlineLevel="0" collapsed="false">
      <c r="B12" s="16" t="s">
        <v>85</v>
      </c>
      <c r="C12" s="17"/>
      <c r="D12" s="17"/>
    </row>
    <row r="13" customFormat="false" ht="15" hidden="false" customHeight="true" outlineLevel="0" collapsed="false">
      <c r="B13" s="5" t="s">
        <v>79</v>
      </c>
    </row>
    <row r="14" customFormat="false" ht="15" hidden="false" customHeight="true" outlineLevel="0" collapsed="false">
      <c r="B14" s="18" t="s">
        <v>86</v>
      </c>
      <c r="C14" s="33" t="n">
        <f aca="false">Assumptions!C36</f>
        <v>1410.3</v>
      </c>
    </row>
    <row r="15" customFormat="false" ht="15" hidden="false" customHeight="true" outlineLevel="0" collapsed="false">
      <c r="B15" s="18" t="s">
        <v>87</v>
      </c>
      <c r="C15" s="33" t="n">
        <f aca="false">Assumptions!C12-Assumptions!C40</f>
        <v>395.9</v>
      </c>
    </row>
    <row r="16" customFormat="false" ht="15" hidden="false" customHeight="true" outlineLevel="0" collapsed="false">
      <c r="B16" s="5" t="s">
        <v>88</v>
      </c>
      <c r="C16" s="26" t="n">
        <f aca="false">C10-C14-C15</f>
        <v>1848.916</v>
      </c>
    </row>
    <row r="17" customFormat="false" ht="15" hidden="false" customHeight="true" outlineLevel="0" collapsed="false">
      <c r="B17" s="34" t="s">
        <v>89</v>
      </c>
      <c r="C17" s="35" t="n">
        <f aca="false">SUM(C14:C16)</f>
        <v>3655.116</v>
      </c>
    </row>
    <row r="19" customFormat="false" ht="19.5" hidden="false" customHeight="true" outlineLevel="0" collapsed="false">
      <c r="B19" s="16" t="s">
        <v>90</v>
      </c>
      <c r="C19" s="17"/>
      <c r="D19" s="17"/>
    </row>
    <row r="20" customFormat="false" ht="15" hidden="false" customHeight="true" outlineLevel="0" collapsed="false">
      <c r="B20" s="18" t="s">
        <v>91</v>
      </c>
      <c r="C20" s="36" t="n">
        <f aca="false">C17-C10</f>
        <v>0</v>
      </c>
    </row>
    <row r="21" customFormat="false" ht="15" hidden="false" customHeight="true" outlineLevel="0" collapsed="false">
      <c r="B21" s="18" t="s">
        <v>92</v>
      </c>
      <c r="C21" s="37" t="n">
        <f aca="false">C14/Assumptions!C10</f>
        <v>4.5</v>
      </c>
    </row>
    <row r="22" customFormat="false" ht="15" hidden="false" customHeight="true" outlineLevel="0" collapsed="false">
      <c r="B22" s="18" t="s">
        <v>93</v>
      </c>
      <c r="C22" s="23" t="n">
        <f aca="false">C16/C17</f>
        <v>0.505843316600622</v>
      </c>
    </row>
    <row r="23" customFormat="false" ht="15" hidden="false" customHeight="true" outlineLevel="0" collapsed="false">
      <c r="B23" s="18" t="s">
        <v>94</v>
      </c>
      <c r="C23" s="23" t="n">
        <f aca="false">C14/C17</f>
        <v>0.385842747535236</v>
      </c>
    </row>
    <row r="25" customFormat="false" ht="18.75" hidden="false" customHeight="true" outlineLevel="0" collapsed="false">
      <c r="B25" s="32" t="s">
        <v>95</v>
      </c>
      <c r="C25" s="32"/>
      <c r="D25" s="32"/>
    </row>
  </sheetData>
  <mergeCells count="2">
    <mergeCell ref="B2:D2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tru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8" min="3" style="1" width="14"/>
    <col collapsed="false" customWidth="true" hidden="false" outlineLevel="0" max="9" min="9" style="1" width="3"/>
  </cols>
  <sheetData>
    <row r="2" customFormat="false" ht="17.25" hidden="false" customHeight="true" outlineLevel="0" collapsed="false">
      <c r="B2" s="15" t="s">
        <v>96</v>
      </c>
      <c r="C2" s="15"/>
      <c r="D2" s="15"/>
      <c r="E2" s="15"/>
      <c r="F2" s="15"/>
      <c r="G2" s="15"/>
      <c r="H2" s="15"/>
    </row>
    <row r="4" customFormat="false" ht="15" hidden="false" customHeight="true" outlineLevel="0" collapsed="false">
      <c r="C4" s="28" t="s">
        <v>51</v>
      </c>
      <c r="D4" s="28" t="s">
        <v>52</v>
      </c>
      <c r="E4" s="28" t="s">
        <v>53</v>
      </c>
      <c r="F4" s="28" t="s">
        <v>54</v>
      </c>
      <c r="G4" s="28" t="s">
        <v>55</v>
      </c>
      <c r="H4" s="28" t="s">
        <v>56</v>
      </c>
    </row>
    <row r="5" customFormat="false" ht="19.5" hidden="false" customHeight="true" outlineLevel="0" collapsed="false">
      <c r="B5" s="16" t="s">
        <v>97</v>
      </c>
      <c r="C5" s="17"/>
      <c r="D5" s="17"/>
      <c r="E5" s="17"/>
      <c r="F5" s="17"/>
      <c r="G5" s="17"/>
    </row>
    <row r="6" customFormat="false" ht="15" hidden="false" customHeight="true" outlineLevel="0" collapsed="false">
      <c r="B6" s="18" t="s">
        <v>57</v>
      </c>
      <c r="D6" s="38" t="n">
        <f aca="false">Assumptions!D27</f>
        <v>0.077</v>
      </c>
      <c r="E6" s="38" t="n">
        <f aca="false">Assumptions!E27</f>
        <v>0.08</v>
      </c>
      <c r="F6" s="38" t="n">
        <f aca="false">Assumptions!F27</f>
        <v>0.08</v>
      </c>
      <c r="G6" s="38" t="n">
        <f aca="false">Assumptions!G27</f>
        <v>0.075</v>
      </c>
      <c r="H6" s="38" t="n">
        <f aca="false">Assumptions!H27</f>
        <v>0.07</v>
      </c>
    </row>
    <row r="7" customFormat="false" ht="15" hidden="false" customHeight="true" outlineLevel="0" collapsed="false">
      <c r="B7" s="5" t="s">
        <v>98</v>
      </c>
      <c r="C7" s="33" t="n">
        <f aca="false">Assumptions!C9</f>
        <v>669.1</v>
      </c>
      <c r="D7" s="26" t="n">
        <f aca="false">C7*(1+D6)</f>
        <v>720.6207</v>
      </c>
      <c r="E7" s="26" t="n">
        <f aca="false">D7*(1+E6)</f>
        <v>778.270356</v>
      </c>
      <c r="F7" s="26" t="n">
        <f aca="false">E7*(1+F6)</f>
        <v>840.53198448</v>
      </c>
      <c r="G7" s="26" t="n">
        <f aca="false">F7*(1+G6)</f>
        <v>903.571883316</v>
      </c>
      <c r="H7" s="26" t="n">
        <f aca="false">G7*(1+H6)</f>
        <v>966.82191514812</v>
      </c>
    </row>
    <row r="8" customFormat="false" ht="15" hidden="false" customHeight="true" outlineLevel="0" collapsed="false">
      <c r="B8" s="18" t="s">
        <v>58</v>
      </c>
      <c r="C8" s="38" t="n">
        <f aca="false">Assumptions!C10/Assumptions!C9</f>
        <v>0.468390375130773</v>
      </c>
      <c r="D8" s="38" t="n">
        <f aca="false">Assumptions!D28</f>
        <v>0.45</v>
      </c>
      <c r="E8" s="38" t="n">
        <f aca="false">Assumptions!E28</f>
        <v>0.455</v>
      </c>
      <c r="F8" s="38" t="n">
        <f aca="false">Assumptions!F28</f>
        <v>0.46</v>
      </c>
      <c r="G8" s="38" t="n">
        <f aca="false">Assumptions!G28</f>
        <v>0.465</v>
      </c>
      <c r="H8" s="38" t="n">
        <f aca="false">Assumptions!H28</f>
        <v>0.47</v>
      </c>
    </row>
    <row r="9" customFormat="false" ht="15" hidden="false" customHeight="true" outlineLevel="0" collapsed="false">
      <c r="B9" s="5" t="s">
        <v>99</v>
      </c>
      <c r="C9" s="33" t="n">
        <f aca="false">Assumptions!C10</f>
        <v>313.4</v>
      </c>
      <c r="D9" s="26" t="n">
        <f aca="false">D7*D8</f>
        <v>324.279315</v>
      </c>
      <c r="E9" s="26" t="n">
        <f aca="false">E7*E8</f>
        <v>354.11301198</v>
      </c>
      <c r="F9" s="26" t="n">
        <f aca="false">F7*F8</f>
        <v>386.6447128608</v>
      </c>
      <c r="G9" s="26" t="n">
        <f aca="false">G7*G8</f>
        <v>420.16092574194</v>
      </c>
      <c r="H9" s="26" t="n">
        <f aca="false">H7*H8</f>
        <v>454.406300119616</v>
      </c>
    </row>
    <row r="10" customFormat="false" ht="15" hidden="false" customHeight="true" outlineLevel="0" collapsed="false">
      <c r="B10" s="18" t="s">
        <v>100</v>
      </c>
      <c r="D10" s="33" t="n">
        <f aca="false">-D7*Assumptions!D29</f>
        <v>-21.618621</v>
      </c>
      <c r="E10" s="33" t="n">
        <f aca="false">-E7*Assumptions!E29</f>
        <v>-23.34811068</v>
      </c>
      <c r="F10" s="33" t="n">
        <f aca="false">-F7*Assumptions!F29</f>
        <v>-25.2159595344</v>
      </c>
      <c r="G10" s="33" t="n">
        <f aca="false">-G7*Assumptions!G29</f>
        <v>-27.10715649948</v>
      </c>
      <c r="H10" s="33" t="n">
        <f aca="false">-H7*Assumptions!H29</f>
        <v>-29.0046574544436</v>
      </c>
    </row>
    <row r="11" customFormat="false" ht="15" hidden="false" customHeight="true" outlineLevel="0" collapsed="false">
      <c r="B11" s="18" t="s">
        <v>101</v>
      </c>
      <c r="D11" s="21" t="n">
        <f aca="false">D9+D10</f>
        <v>302.660694</v>
      </c>
      <c r="E11" s="21" t="n">
        <f aca="false">E9+E10</f>
        <v>330.7649013</v>
      </c>
      <c r="F11" s="21" t="n">
        <f aca="false">F9+F10</f>
        <v>361.4287533264</v>
      </c>
      <c r="G11" s="21" t="n">
        <f aca="false">G9+G10</f>
        <v>393.05376924246</v>
      </c>
      <c r="H11" s="21" t="n">
        <f aca="false">H9+H10</f>
        <v>425.401642665173</v>
      </c>
    </row>
    <row r="12" customFormat="false" ht="15" hidden="false" customHeight="true" outlineLevel="0" collapsed="false">
      <c r="B12" s="18" t="s">
        <v>102</v>
      </c>
      <c r="D12" s="33" t="n">
        <f aca="false">-'Debt Schedule'!D9</f>
        <v>-119.8755</v>
      </c>
      <c r="E12" s="33" t="n">
        <f aca="false">-'Debt Schedule'!E9</f>
        <v>-107.2165673</v>
      </c>
      <c r="F12" s="33" t="n">
        <f aca="false">-'Debt Schedule'!F9</f>
        <v>-91.8750618884</v>
      </c>
      <c r="G12" s="33" t="n">
        <f aca="false">-'Debt Schedule'!G9</f>
        <v>-73.5134910105995</v>
      </c>
      <c r="H12" s="33" t="n">
        <f aca="false">-'Debt Schedule'!H9</f>
        <v>-51.8835762940693</v>
      </c>
    </row>
    <row r="13" customFormat="false" ht="15" hidden="false" customHeight="true" outlineLevel="0" collapsed="false">
      <c r="B13" s="18" t="s">
        <v>103</v>
      </c>
      <c r="D13" s="21" t="n">
        <f aca="false">D11+D12</f>
        <v>182.785194</v>
      </c>
      <c r="E13" s="21" t="n">
        <f aca="false">E11+E12</f>
        <v>223.548334</v>
      </c>
      <c r="F13" s="21" t="n">
        <f aca="false">F11+F12</f>
        <v>269.553691438</v>
      </c>
      <c r="G13" s="21" t="n">
        <f aca="false">G11+G12</f>
        <v>319.540278231861</v>
      </c>
      <c r="H13" s="21" t="n">
        <f aca="false">H11+H12</f>
        <v>373.518066371104</v>
      </c>
    </row>
    <row r="14" customFormat="false" ht="15" hidden="false" customHeight="true" outlineLevel="0" collapsed="false">
      <c r="B14" s="18" t="s">
        <v>104</v>
      </c>
      <c r="D14" s="33" t="n">
        <f aca="false">-MAX(D13,0)*Assumptions!$D$32</f>
        <v>-45.6962985</v>
      </c>
      <c r="E14" s="33" t="n">
        <f aca="false">-MAX(E13,0)*Assumptions!$D$32</f>
        <v>-55.8870835</v>
      </c>
      <c r="F14" s="33" t="n">
        <f aca="false">-MAX(F13,0)*Assumptions!$D$32</f>
        <v>-67.3884228595</v>
      </c>
      <c r="G14" s="33" t="n">
        <f aca="false">-MAX(G13,0)*Assumptions!$D$32</f>
        <v>-79.8850695579651</v>
      </c>
      <c r="H14" s="33" t="n">
        <f aca="false">-MAX(H13,0)*Assumptions!$D$32</f>
        <v>-93.3795165927759</v>
      </c>
    </row>
    <row r="15" customFormat="false" ht="15" hidden="false" customHeight="true" outlineLevel="0" collapsed="false">
      <c r="B15" s="5" t="s">
        <v>105</v>
      </c>
      <c r="D15" s="26" t="n">
        <f aca="false">D13+D14</f>
        <v>137.0888955</v>
      </c>
      <c r="E15" s="26" t="n">
        <f aca="false">E13+E14</f>
        <v>167.6612505</v>
      </c>
      <c r="F15" s="26" t="n">
        <f aca="false">F13+F14</f>
        <v>202.1652685785</v>
      </c>
      <c r="G15" s="26" t="n">
        <f aca="false">G13+G14</f>
        <v>239.655208673895</v>
      </c>
      <c r="H15" s="26" t="n">
        <f aca="false">H13+H14</f>
        <v>280.138549778328</v>
      </c>
    </row>
    <row r="17" customFormat="false" ht="19.5" hidden="false" customHeight="true" outlineLevel="0" collapsed="false">
      <c r="B17" s="16" t="s">
        <v>106</v>
      </c>
      <c r="C17" s="17"/>
      <c r="D17" s="17"/>
      <c r="E17" s="17"/>
      <c r="F17" s="17"/>
      <c r="G17" s="17"/>
    </row>
    <row r="18" customFormat="false" ht="15" hidden="false" customHeight="true" outlineLevel="0" collapsed="false">
      <c r="B18" s="18" t="s">
        <v>99</v>
      </c>
      <c r="D18" s="21" t="n">
        <f aca="false">D9</f>
        <v>324.279315</v>
      </c>
      <c r="E18" s="21" t="n">
        <f aca="false">E9</f>
        <v>354.11301198</v>
      </c>
      <c r="F18" s="21" t="n">
        <f aca="false">F9</f>
        <v>386.6447128608</v>
      </c>
      <c r="G18" s="21" t="n">
        <f aca="false">G9</f>
        <v>420.16092574194</v>
      </c>
      <c r="H18" s="21" t="n">
        <f aca="false">H9</f>
        <v>454.406300119616</v>
      </c>
    </row>
    <row r="19" customFormat="false" ht="15" hidden="false" customHeight="true" outlineLevel="0" collapsed="false">
      <c r="B19" s="18" t="s">
        <v>107</v>
      </c>
      <c r="D19" s="33" t="n">
        <f aca="false">-D7*Assumptions!D30</f>
        <v>-10.8093105</v>
      </c>
      <c r="E19" s="33" t="n">
        <f aca="false">-E7*Assumptions!E30</f>
        <v>-11.67405534</v>
      </c>
      <c r="F19" s="33" t="n">
        <f aca="false">-F7*Assumptions!F30</f>
        <v>-12.6079797672</v>
      </c>
      <c r="G19" s="33" t="n">
        <f aca="false">-G7*Assumptions!G30</f>
        <v>-13.55357824974</v>
      </c>
      <c r="H19" s="33" t="n">
        <f aca="false">-H7*Assumptions!H30</f>
        <v>-14.5023287272218</v>
      </c>
    </row>
    <row r="20" customFormat="false" ht="15" hidden="false" customHeight="true" outlineLevel="0" collapsed="false">
      <c r="B20" s="18" t="s">
        <v>108</v>
      </c>
      <c r="D20" s="33" t="n">
        <f aca="false">(D7-C7)*Assumptions!D31</f>
        <v>1.030414</v>
      </c>
      <c r="E20" s="33" t="n">
        <f aca="false">(E7-D7)*Assumptions!E31</f>
        <v>1.15299312</v>
      </c>
      <c r="F20" s="33" t="n">
        <f aca="false">(F7-E7)*Assumptions!F31</f>
        <v>1.2452325696</v>
      </c>
      <c r="G20" s="33" t="n">
        <f aca="false">(G7-F7)*Assumptions!G31</f>
        <v>1.26079797672</v>
      </c>
      <c r="H20" s="33" t="n">
        <f aca="false">(H7-G7)*Assumptions!H31</f>
        <v>1.2650006366424</v>
      </c>
    </row>
    <row r="21" customFormat="false" ht="15" hidden="false" customHeight="true" outlineLevel="0" collapsed="false">
      <c r="B21" s="18" t="s">
        <v>102</v>
      </c>
      <c r="D21" s="21" t="n">
        <f aca="false">D12</f>
        <v>-119.8755</v>
      </c>
      <c r="E21" s="21" t="n">
        <f aca="false">E12</f>
        <v>-107.2165673</v>
      </c>
      <c r="F21" s="21" t="n">
        <f aca="false">F12</f>
        <v>-91.8750618884</v>
      </c>
      <c r="G21" s="21" t="n">
        <f aca="false">G12</f>
        <v>-73.5134910105995</v>
      </c>
      <c r="H21" s="21" t="n">
        <f aca="false">H12</f>
        <v>-51.8835762940693</v>
      </c>
    </row>
    <row r="22" customFormat="false" ht="15" hidden="false" customHeight="true" outlineLevel="0" collapsed="false">
      <c r="B22" s="18" t="s">
        <v>104</v>
      </c>
      <c r="D22" s="21" t="n">
        <f aca="false">D14</f>
        <v>-45.6962985</v>
      </c>
      <c r="E22" s="21" t="n">
        <f aca="false">E14</f>
        <v>-55.8870835</v>
      </c>
      <c r="F22" s="21" t="n">
        <f aca="false">F14</f>
        <v>-67.3884228595</v>
      </c>
      <c r="G22" s="21" t="n">
        <f aca="false">G14</f>
        <v>-79.8850695579651</v>
      </c>
      <c r="H22" s="21" t="n">
        <f aca="false">H14</f>
        <v>-93.3795165927759</v>
      </c>
    </row>
    <row r="23" customFormat="false" ht="15" hidden="false" customHeight="true" outlineLevel="0" collapsed="false">
      <c r="B23" s="18" t="s">
        <v>109</v>
      </c>
      <c r="D23" s="33" t="n">
        <f aca="false">-'Debt Schedule'!D10</f>
        <v>-14.103</v>
      </c>
      <c r="E23" s="33" t="n">
        <f aca="false">-'Debt Schedule'!E10</f>
        <v>-14.103</v>
      </c>
      <c r="F23" s="33" t="n">
        <f aca="false">-'Debt Schedule'!F10</f>
        <v>-14.103</v>
      </c>
      <c r="G23" s="33" t="n">
        <f aca="false">-'Debt Schedule'!G10</f>
        <v>-14.103</v>
      </c>
      <c r="H23" s="33" t="n">
        <f aca="false">-'Debt Schedule'!H10</f>
        <v>-14.103</v>
      </c>
    </row>
    <row r="24" customFormat="false" ht="15" hidden="false" customHeight="true" outlineLevel="0" collapsed="false">
      <c r="B24" s="5" t="s">
        <v>110</v>
      </c>
      <c r="D24" s="35" t="n">
        <f aca="false">SUM(D18:D23)</f>
        <v>134.82562</v>
      </c>
      <c r="E24" s="26" t="n">
        <f aca="false">SUM(E18:E23)</f>
        <v>166.38529896</v>
      </c>
      <c r="F24" s="26" t="n">
        <f aca="false">SUM(F18:F23)</f>
        <v>201.9154809153</v>
      </c>
      <c r="G24" s="26" t="n">
        <f aca="false">SUM(G18:G23)</f>
        <v>240.366584900355</v>
      </c>
      <c r="H24" s="35" t="n">
        <f aca="false">SUM(H18:H23)</f>
        <v>281.802879142192</v>
      </c>
    </row>
    <row r="25" customFormat="false" ht="15" hidden="false" customHeight="true" outlineLevel="0" collapsed="false">
      <c r="B25" s="18" t="s">
        <v>111</v>
      </c>
      <c r="D25" s="33" t="n">
        <f aca="false">-'Debt Schedule'!D19</f>
        <v>-134.82562</v>
      </c>
      <c r="E25" s="33" t="n">
        <f aca="false">-'Debt Schedule'!E19</f>
        <v>-166.38529896</v>
      </c>
      <c r="F25" s="33" t="n">
        <f aca="false">-'Debt Schedule'!F19</f>
        <v>-201.9154809153</v>
      </c>
      <c r="G25" s="33" t="n">
        <f aca="false">-'Debt Schedule'!G19</f>
        <v>-240.366584900355</v>
      </c>
      <c r="H25" s="33" t="n">
        <f aca="false">-'Debt Schedule'!H19</f>
        <v>-281.802879142192</v>
      </c>
    </row>
    <row r="26" customFormat="false" ht="15" hidden="false" customHeight="true" outlineLevel="0" collapsed="false">
      <c r="B26" s="24" t="s">
        <v>112</v>
      </c>
      <c r="D26" s="21" t="n">
        <f aca="false">D24+D25</f>
        <v>0</v>
      </c>
      <c r="E26" s="21" t="n">
        <f aca="false">E24+E25</f>
        <v>0</v>
      </c>
      <c r="F26" s="21" t="n">
        <f aca="false">F24+F25</f>
        <v>0</v>
      </c>
      <c r="G26" s="21" t="n">
        <f aca="false">G24+G25</f>
        <v>0</v>
      </c>
      <c r="H26" s="21" t="n">
        <f aca="false">H24+H25</f>
        <v>0</v>
      </c>
    </row>
    <row r="28" customFormat="false" ht="18.75" hidden="false" customHeight="true" outlineLevel="0" collapsed="false">
      <c r="B28" s="32" t="s">
        <v>113</v>
      </c>
      <c r="C28" s="32"/>
      <c r="D28" s="32"/>
      <c r="E28" s="32"/>
      <c r="F28" s="32"/>
      <c r="G28" s="32"/>
    </row>
  </sheetData>
  <mergeCells count="2">
    <mergeCell ref="B2:H2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true"/>
  </sheetPr>
  <dimension ref="B2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8" min="3" style="1" width="14"/>
    <col collapsed="false" customWidth="true" hidden="false" outlineLevel="0" max="9" min="9" style="1" width="3"/>
  </cols>
  <sheetData>
    <row r="2" customFormat="false" ht="17.25" hidden="false" customHeight="true" outlineLevel="0" collapsed="false">
      <c r="B2" s="15" t="s">
        <v>114</v>
      </c>
      <c r="C2" s="15"/>
      <c r="D2" s="15"/>
      <c r="E2" s="15"/>
      <c r="F2" s="15"/>
      <c r="G2" s="15"/>
      <c r="H2" s="15"/>
    </row>
    <row r="4" customFormat="false" ht="15" hidden="false" customHeight="true" outlineLevel="0" collapsed="false">
      <c r="B4" s="39" t="s">
        <v>115</v>
      </c>
      <c r="C4" s="39"/>
      <c r="D4" s="39"/>
      <c r="E4" s="39"/>
      <c r="F4" s="39"/>
      <c r="G4" s="39"/>
      <c r="H4" s="39"/>
    </row>
    <row r="6" customFormat="false" ht="15" hidden="false" customHeight="true" outlineLevel="0" collapsed="false">
      <c r="C6" s="28" t="s">
        <v>116</v>
      </c>
      <c r="D6" s="28" t="s">
        <v>52</v>
      </c>
      <c r="E6" s="28" t="s">
        <v>53</v>
      </c>
      <c r="F6" s="28" t="s">
        <v>54</v>
      </c>
      <c r="G6" s="28" t="s">
        <v>55</v>
      </c>
      <c r="H6" s="28" t="s">
        <v>56</v>
      </c>
    </row>
    <row r="7" customFormat="false" ht="15" hidden="false" customHeight="true" outlineLevel="0" collapsed="false">
      <c r="B7" s="18" t="s">
        <v>117</v>
      </c>
      <c r="C7" s="33" t="n">
        <f aca="false">'Sources &amp; Uses'!C14</f>
        <v>1410.3</v>
      </c>
      <c r="D7" s="21" t="n">
        <f aca="false">C7</f>
        <v>1410.3</v>
      </c>
      <c r="E7" s="21" t="n">
        <f aca="false">D21</f>
        <v>1261.37138</v>
      </c>
      <c r="F7" s="21" t="n">
        <f aca="false">E21</f>
        <v>1080.88308104</v>
      </c>
      <c r="G7" s="21" t="n">
        <f aca="false">F21</f>
        <v>864.8646001247</v>
      </c>
      <c r="H7" s="21" t="n">
        <f aca="false">G21</f>
        <v>610.395015224344</v>
      </c>
    </row>
    <row r="8" customFormat="false" ht="15" hidden="false" customHeight="true" outlineLevel="0" collapsed="false">
      <c r="B8" s="18" t="s">
        <v>118</v>
      </c>
      <c r="D8" s="38" t="n">
        <f aca="false">Assumptions!$C$37</f>
        <v>0.085</v>
      </c>
      <c r="E8" s="38" t="n">
        <f aca="false">Assumptions!$C$37</f>
        <v>0.085</v>
      </c>
      <c r="F8" s="38" t="n">
        <f aca="false">Assumptions!$C$37</f>
        <v>0.085</v>
      </c>
      <c r="G8" s="38" t="n">
        <f aca="false">Assumptions!$C$37</f>
        <v>0.085</v>
      </c>
      <c r="H8" s="38" t="n">
        <f aca="false">Assumptions!$C$37</f>
        <v>0.085</v>
      </c>
    </row>
    <row r="9" customFormat="false" ht="15" hidden="false" customHeight="true" outlineLevel="0" collapsed="false">
      <c r="B9" s="18" t="s">
        <v>119</v>
      </c>
      <c r="D9" s="21" t="n">
        <f aca="false">D7*D8</f>
        <v>119.8755</v>
      </c>
      <c r="E9" s="21" t="n">
        <f aca="false">E7*E8</f>
        <v>107.2165673</v>
      </c>
      <c r="F9" s="21" t="n">
        <f aca="false">F7*F8</f>
        <v>91.8750618884</v>
      </c>
      <c r="G9" s="21" t="n">
        <f aca="false">G7*G8</f>
        <v>73.5134910105995</v>
      </c>
      <c r="H9" s="21" t="n">
        <f aca="false">H7*H8</f>
        <v>51.8835762940693</v>
      </c>
    </row>
    <row r="10" customFormat="false" ht="15" hidden="false" customHeight="true" outlineLevel="0" collapsed="false">
      <c r="B10" s="18" t="s">
        <v>120</v>
      </c>
      <c r="D10" s="33" t="n">
        <f aca="false">'Sources &amp; Uses'!$C$14*Assumptions!$C$38</f>
        <v>14.103</v>
      </c>
      <c r="E10" s="33" t="n">
        <f aca="false">'Sources &amp; Uses'!$C$14*Assumptions!$C$38</f>
        <v>14.103</v>
      </c>
      <c r="F10" s="33" t="n">
        <f aca="false">'Sources &amp; Uses'!$C$14*Assumptions!$C$38</f>
        <v>14.103</v>
      </c>
      <c r="G10" s="33" t="n">
        <f aca="false">'Sources &amp; Uses'!$C$14*Assumptions!$C$38</f>
        <v>14.103</v>
      </c>
      <c r="H10" s="33" t="n">
        <f aca="false">'Sources &amp; Uses'!$C$14*Assumptions!$C$38</f>
        <v>14.103</v>
      </c>
    </row>
    <row r="11" customFormat="false" ht="19.5" hidden="false" customHeight="true" outlineLevel="0" collapsed="false">
      <c r="B11" s="40" t="s">
        <v>121</v>
      </c>
      <c r="C11" s="41"/>
      <c r="D11" s="41"/>
      <c r="E11" s="41"/>
      <c r="F11" s="41"/>
      <c r="G11" s="41"/>
    </row>
    <row r="12" customFormat="false" ht="15" hidden="false" customHeight="true" outlineLevel="0" collapsed="false">
      <c r="B12" s="18" t="s">
        <v>99</v>
      </c>
      <c r="D12" s="33" t="n">
        <f aca="false">'Operating Model'!D9</f>
        <v>324.279315</v>
      </c>
      <c r="E12" s="33" t="n">
        <f aca="false">'Operating Model'!E9</f>
        <v>354.11301198</v>
      </c>
      <c r="F12" s="33" t="n">
        <f aca="false">'Operating Model'!F9</f>
        <v>386.6447128608</v>
      </c>
      <c r="G12" s="33" t="n">
        <f aca="false">'Operating Model'!G9</f>
        <v>420.16092574194</v>
      </c>
      <c r="H12" s="33" t="n">
        <f aca="false">'Operating Model'!H9</f>
        <v>454.406300119616</v>
      </c>
    </row>
    <row r="13" customFormat="false" ht="15" hidden="false" customHeight="true" outlineLevel="0" collapsed="false">
      <c r="B13" s="18" t="s">
        <v>107</v>
      </c>
      <c r="D13" s="33" t="n">
        <f aca="false">'Operating Model'!D19</f>
        <v>-10.8093105</v>
      </c>
      <c r="E13" s="33" t="n">
        <f aca="false">'Operating Model'!E19</f>
        <v>-11.67405534</v>
      </c>
      <c r="F13" s="33" t="n">
        <f aca="false">'Operating Model'!F19</f>
        <v>-12.6079797672</v>
      </c>
      <c r="G13" s="33" t="n">
        <f aca="false">'Operating Model'!G19</f>
        <v>-13.55357824974</v>
      </c>
      <c r="H13" s="33" t="n">
        <f aca="false">'Operating Model'!H19</f>
        <v>-14.5023287272218</v>
      </c>
    </row>
    <row r="14" customFormat="false" ht="15" hidden="false" customHeight="true" outlineLevel="0" collapsed="false">
      <c r="B14" s="18" t="s">
        <v>108</v>
      </c>
      <c r="D14" s="33" t="n">
        <f aca="false">'Operating Model'!D20</f>
        <v>1.030414</v>
      </c>
      <c r="E14" s="33" t="n">
        <f aca="false">'Operating Model'!E20</f>
        <v>1.15299312</v>
      </c>
      <c r="F14" s="33" t="n">
        <f aca="false">'Operating Model'!F20</f>
        <v>1.2452325696</v>
      </c>
      <c r="G14" s="33" t="n">
        <f aca="false">'Operating Model'!G20</f>
        <v>1.26079797672</v>
      </c>
      <c r="H14" s="33" t="n">
        <f aca="false">'Operating Model'!H20</f>
        <v>1.2650006366424</v>
      </c>
    </row>
    <row r="15" customFormat="false" ht="15" hidden="false" customHeight="true" outlineLevel="0" collapsed="false">
      <c r="B15" s="18" t="s">
        <v>102</v>
      </c>
      <c r="D15" s="21" t="n">
        <f aca="false">-D9</f>
        <v>-119.8755</v>
      </c>
      <c r="E15" s="21" t="n">
        <f aca="false">-E9</f>
        <v>-107.2165673</v>
      </c>
      <c r="F15" s="21" t="n">
        <f aca="false">-F9</f>
        <v>-91.8750618884</v>
      </c>
      <c r="G15" s="21" t="n">
        <f aca="false">-G9</f>
        <v>-73.5134910105995</v>
      </c>
      <c r="H15" s="21" t="n">
        <f aca="false">-H9</f>
        <v>-51.8835762940693</v>
      </c>
    </row>
    <row r="16" customFormat="false" ht="15" hidden="false" customHeight="true" outlineLevel="0" collapsed="false">
      <c r="B16" s="18" t="s">
        <v>104</v>
      </c>
      <c r="D16" s="33" t="n">
        <f aca="false">'Operating Model'!D14</f>
        <v>-45.6962985</v>
      </c>
      <c r="E16" s="33" t="n">
        <f aca="false">'Operating Model'!E14</f>
        <v>-55.8870835</v>
      </c>
      <c r="F16" s="33" t="n">
        <f aca="false">'Operating Model'!F14</f>
        <v>-67.3884228595</v>
      </c>
      <c r="G16" s="33" t="n">
        <f aca="false">'Operating Model'!G14</f>
        <v>-79.8850695579651</v>
      </c>
      <c r="H16" s="33" t="n">
        <f aca="false">'Operating Model'!H14</f>
        <v>-93.3795165927759</v>
      </c>
    </row>
    <row r="17" customFormat="false" ht="15" hidden="false" customHeight="true" outlineLevel="0" collapsed="false">
      <c r="B17" s="18" t="s">
        <v>122</v>
      </c>
      <c r="D17" s="21" t="n">
        <f aca="false">-D10</f>
        <v>-14.103</v>
      </c>
      <c r="E17" s="21" t="n">
        <f aca="false">-E10</f>
        <v>-14.103</v>
      </c>
      <c r="F17" s="21" t="n">
        <f aca="false">-F10</f>
        <v>-14.103</v>
      </c>
      <c r="G17" s="21" t="n">
        <f aca="false">-G10</f>
        <v>-14.103</v>
      </c>
      <c r="H17" s="21" t="n">
        <f aca="false">-H10</f>
        <v>-14.103</v>
      </c>
    </row>
    <row r="18" customFormat="false" ht="15" hidden="false" customHeight="true" outlineLevel="0" collapsed="false">
      <c r="B18" s="5" t="s">
        <v>123</v>
      </c>
      <c r="D18" s="35" t="n">
        <f aca="false">SUM(D12:D17)</f>
        <v>134.82562</v>
      </c>
      <c r="E18" s="35" t="n">
        <f aca="false">SUM(E12:E17)</f>
        <v>166.38529896</v>
      </c>
      <c r="F18" s="35" t="n">
        <f aca="false">SUM(F12:F17)</f>
        <v>201.9154809153</v>
      </c>
      <c r="G18" s="35" t="n">
        <f aca="false">SUM(G12:G17)</f>
        <v>240.366584900355</v>
      </c>
      <c r="H18" s="35" t="n">
        <f aca="false">SUM(H12:H17)</f>
        <v>281.802879142192</v>
      </c>
    </row>
    <row r="19" customFormat="false" ht="15" hidden="false" customHeight="true" outlineLevel="0" collapsed="false">
      <c r="B19" s="18" t="s">
        <v>111</v>
      </c>
      <c r="D19" s="21" t="n">
        <f aca="false">MIN(MAX(D18,0),D7-D10)*Assumptions!$C$39</f>
        <v>134.82562</v>
      </c>
      <c r="E19" s="21" t="n">
        <f aca="false">MIN(MAX(E18,0),E7-E10)*Assumptions!$C$39</f>
        <v>166.38529896</v>
      </c>
      <c r="F19" s="21" t="n">
        <f aca="false">MIN(MAX(F18,0),F7-F10)*Assumptions!$C$39</f>
        <v>201.9154809153</v>
      </c>
      <c r="G19" s="21" t="n">
        <f aca="false">MIN(MAX(G18,0),G7-G10)*Assumptions!$C$39</f>
        <v>240.366584900355</v>
      </c>
      <c r="H19" s="21" t="n">
        <f aca="false">MIN(MAX(H18,0),H7-H10)*Assumptions!$C$39</f>
        <v>281.802879142192</v>
      </c>
    </row>
    <row r="21" customFormat="false" ht="15" hidden="false" customHeight="true" outlineLevel="0" collapsed="false">
      <c r="B21" s="5" t="s">
        <v>124</v>
      </c>
      <c r="D21" s="35" t="n">
        <f aca="false">D7-D10-D19</f>
        <v>1261.37138</v>
      </c>
      <c r="E21" s="35" t="n">
        <f aca="false">E7-E10-E19</f>
        <v>1080.88308104</v>
      </c>
      <c r="F21" s="35" t="n">
        <f aca="false">F7-F10-F19</f>
        <v>864.8646001247</v>
      </c>
      <c r="G21" s="35" t="n">
        <f aca="false">G7-G10-G19</f>
        <v>610.395015224344</v>
      </c>
      <c r="H21" s="35" t="n">
        <f aca="false">H7-H10-H19</f>
        <v>314.489136082153</v>
      </c>
    </row>
    <row r="23" customFormat="false" ht="15" hidden="false" customHeight="true" outlineLevel="0" collapsed="false">
      <c r="B23" s="18" t="s">
        <v>125</v>
      </c>
      <c r="D23" s="37" t="n">
        <f aca="false">D21/Assumptions!$C$10</f>
        <v>4.02479700063816</v>
      </c>
      <c r="E23" s="37" t="n">
        <f aca="false">E21/Assumptions!$C$10</f>
        <v>3.44889304735163</v>
      </c>
      <c r="F23" s="37" t="n">
        <f aca="false">F21/Assumptions!$C$10</f>
        <v>2.75961901762827</v>
      </c>
      <c r="G23" s="37" t="n">
        <f aca="false">G21/Assumptions!$C$10</f>
        <v>1.94765480288559</v>
      </c>
      <c r="H23" s="37" t="n">
        <f aca="false">H21/Assumptions!$C$10</f>
        <v>1.00347522680968</v>
      </c>
    </row>
    <row r="25" customFormat="false" ht="18.75" hidden="false" customHeight="true" outlineLevel="0" collapsed="false">
      <c r="B25" s="32" t="s">
        <v>126</v>
      </c>
      <c r="C25" s="32"/>
      <c r="D25" s="32"/>
      <c r="E25" s="32"/>
      <c r="F25" s="32"/>
      <c r="G25" s="32"/>
    </row>
  </sheetData>
  <mergeCells count="3">
    <mergeCell ref="B2:H2"/>
    <mergeCell ref="B4:H4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78BFA"/>
    <pageSetUpPr fitToPage="true"/>
  </sheetPr>
  <dimension ref="B2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8" min="3" style="1" width="14"/>
    <col collapsed="false" customWidth="true" hidden="false" outlineLevel="0" max="9" min="9" style="1" width="3"/>
  </cols>
  <sheetData>
    <row r="2" customFormat="false" ht="17.25" hidden="false" customHeight="true" outlineLevel="0" collapsed="false">
      <c r="B2" s="15" t="s">
        <v>127</v>
      </c>
      <c r="C2" s="15"/>
      <c r="D2" s="15"/>
      <c r="E2" s="15"/>
      <c r="F2" s="15"/>
      <c r="G2" s="15"/>
      <c r="H2" s="15"/>
    </row>
    <row r="4" customFormat="false" ht="19.5" hidden="false" customHeight="true" outlineLevel="0" collapsed="false">
      <c r="B4" s="16" t="s">
        <v>128</v>
      </c>
      <c r="C4" s="17"/>
      <c r="D4" s="17"/>
    </row>
    <row r="5" customFormat="false" ht="15" hidden="false" customHeight="true" outlineLevel="0" collapsed="false">
      <c r="B5" s="18" t="s">
        <v>129</v>
      </c>
      <c r="C5" s="33" t="n">
        <f aca="false">'Operating Model'!H9</f>
        <v>454.406300119616</v>
      </c>
    </row>
    <row r="6" customFormat="false" ht="15" hidden="false" customHeight="true" outlineLevel="0" collapsed="false">
      <c r="B6" s="18" t="s">
        <v>74</v>
      </c>
      <c r="C6" s="42" t="n">
        <f aca="false">Assumptions!C46</f>
        <v>10</v>
      </c>
    </row>
    <row r="7" customFormat="false" ht="15" hidden="false" customHeight="true" outlineLevel="0" collapsed="false">
      <c r="B7" s="5" t="s">
        <v>130</v>
      </c>
      <c r="C7" s="26" t="n">
        <f aca="false">C5*C6</f>
        <v>4544.06300119616</v>
      </c>
    </row>
    <row r="8" customFormat="false" ht="15" hidden="false" customHeight="true" outlineLevel="0" collapsed="false">
      <c r="B8" s="18" t="s">
        <v>131</v>
      </c>
      <c r="C8" s="33" t="n">
        <f aca="false">-'Debt Schedule'!H21</f>
        <v>-314.489136082153</v>
      </c>
    </row>
    <row r="9" customFormat="false" ht="15" hidden="false" customHeight="true" outlineLevel="0" collapsed="false">
      <c r="B9" s="18" t="s">
        <v>132</v>
      </c>
      <c r="C9" s="33" t="n">
        <f aca="false">-C7*Assumptions!C47</f>
        <v>-45.4406300119616</v>
      </c>
    </row>
    <row r="10" customFormat="false" ht="15" hidden="false" customHeight="true" outlineLevel="0" collapsed="false">
      <c r="B10" s="18" t="s">
        <v>133</v>
      </c>
      <c r="C10" s="33" t="n">
        <f aca="false">Assumptions!C40</f>
        <v>50</v>
      </c>
    </row>
    <row r="11" customFormat="false" ht="15" hidden="false" customHeight="true" outlineLevel="0" collapsed="false">
      <c r="B11" s="5" t="s">
        <v>134</v>
      </c>
      <c r="C11" s="35" t="n">
        <f aca="false">SUM(C7:C10)</f>
        <v>4234.13323510205</v>
      </c>
    </row>
    <row r="13" customFormat="false" ht="19.5" hidden="false" customHeight="true" outlineLevel="0" collapsed="false">
      <c r="B13" s="16" t="s">
        <v>135</v>
      </c>
      <c r="C13" s="17"/>
      <c r="D13" s="17"/>
    </row>
    <row r="14" customFormat="false" ht="15" hidden="false" customHeight="true" outlineLevel="0" collapsed="false">
      <c r="B14" s="18" t="s">
        <v>136</v>
      </c>
      <c r="C14" s="33" t="n">
        <f aca="false">'Sources &amp; Uses'!C16</f>
        <v>1848.916</v>
      </c>
    </row>
    <row r="15" customFormat="false" ht="15" hidden="false" customHeight="true" outlineLevel="0" collapsed="false">
      <c r="B15" s="18" t="s">
        <v>137</v>
      </c>
      <c r="C15" s="21" t="n">
        <f aca="false">C11</f>
        <v>4234.13323510205</v>
      </c>
    </row>
    <row r="16" customFormat="false" ht="15" hidden="false" customHeight="true" outlineLevel="0" collapsed="false">
      <c r="B16" s="18" t="s">
        <v>73</v>
      </c>
      <c r="C16" s="43" t="n">
        <f aca="false">Assumptions!C45</f>
        <v>5</v>
      </c>
    </row>
    <row r="17" customFormat="false" ht="15" hidden="false" customHeight="true" outlineLevel="0" collapsed="false">
      <c r="B17" s="5" t="s">
        <v>138</v>
      </c>
      <c r="C17" s="44" t="n">
        <f aca="false">C11/C14</f>
        <v>2.29006252047256</v>
      </c>
    </row>
    <row r="18" customFormat="false" ht="15" hidden="false" customHeight="true" outlineLevel="0" collapsed="false">
      <c r="B18" s="5" t="s">
        <v>139</v>
      </c>
      <c r="C18" s="45" t="n">
        <f aca="false">C17^(1/C16)-1</f>
        <v>0.180237658541654</v>
      </c>
    </row>
    <row r="20" customFormat="false" ht="15" hidden="false" customHeight="true" outlineLevel="0" collapsed="false">
      <c r="B20" s="24" t="s">
        <v>140</v>
      </c>
    </row>
    <row r="21" customFormat="false" ht="15" hidden="false" customHeight="true" outlineLevel="0" collapsed="false">
      <c r="C21" s="21" t="n">
        <f aca="false">-C14</f>
        <v>-1848.916</v>
      </c>
      <c r="D21" s="21" t="n">
        <f aca="false">0</f>
        <v>0</v>
      </c>
      <c r="E21" s="21" t="n">
        <f aca="false">0</f>
        <v>0</v>
      </c>
      <c r="F21" s="21" t="n">
        <f aca="false">0</f>
        <v>0</v>
      </c>
      <c r="G21" s="21" t="n">
        <f aca="false">0</f>
        <v>0</v>
      </c>
      <c r="H21" s="21" t="n">
        <f aca="false">C11</f>
        <v>4234.13323510205</v>
      </c>
    </row>
    <row r="22" customFormat="false" ht="15" hidden="false" customHeight="true" outlineLevel="0" collapsed="false">
      <c r="B22" s="18" t="s">
        <v>141</v>
      </c>
      <c r="C22" s="23" t="n">
        <f aca="false">IRR(C21:H21)</f>
        <v>0.180237658541654</v>
      </c>
    </row>
    <row r="24" customFormat="false" ht="19.5" hidden="false" customHeight="true" outlineLevel="0" collapsed="false">
      <c r="B24" s="7" t="s">
        <v>142</v>
      </c>
      <c r="C24" s="8"/>
      <c r="D24" s="8"/>
      <c r="E24" s="8"/>
      <c r="F24" s="8"/>
      <c r="G24" s="8"/>
      <c r="H24" s="8"/>
      <c r="I24" s="8"/>
    </row>
    <row r="25" customFormat="false" ht="27.75" hidden="false" customHeight="true" outlineLevel="0" collapsed="false">
      <c r="B25" s="32" t="s">
        <v>143</v>
      </c>
      <c r="C25" s="32"/>
      <c r="D25" s="32"/>
      <c r="E25" s="32"/>
      <c r="F25" s="32"/>
      <c r="G25" s="32"/>
      <c r="H25" s="32"/>
      <c r="I25" s="32"/>
    </row>
    <row r="27" customFormat="false" ht="15" hidden="false" customHeight="true" outlineLevel="0" collapsed="false">
      <c r="B27" s="24" t="s">
        <v>144</v>
      </c>
    </row>
    <row r="28" customFormat="false" ht="15" hidden="false" customHeight="true" outlineLevel="0" collapsed="false">
      <c r="B28" s="18" t="s">
        <v>145</v>
      </c>
      <c r="C28" s="46" t="n">
        <v>3.5</v>
      </c>
      <c r="D28" s="46" t="n">
        <v>4</v>
      </c>
      <c r="E28" s="46" t="n">
        <v>4.5</v>
      </c>
      <c r="F28" s="46" t="n">
        <v>5</v>
      </c>
      <c r="G28" s="46" t="n">
        <v>5.5</v>
      </c>
    </row>
    <row r="29" customFormat="false" ht="15" hidden="false" customHeight="true" outlineLevel="0" collapsed="false">
      <c r="B29" s="18" t="s">
        <v>146</v>
      </c>
      <c r="C29" s="21" t="n">
        <f aca="false">C28*Assumptions!$C$10</f>
        <v>1096.9</v>
      </c>
      <c r="D29" s="21" t="n">
        <f aca="false">D28*Assumptions!$C$10</f>
        <v>1253.6</v>
      </c>
      <c r="E29" s="21" t="n">
        <f aca="false">E28*Assumptions!$C$10</f>
        <v>1410.3</v>
      </c>
      <c r="F29" s="21" t="n">
        <f aca="false">F28*Assumptions!$C$10</f>
        <v>1567</v>
      </c>
      <c r="G29" s="21" t="n">
        <f aca="false">G28*Assumptions!$C$10</f>
        <v>1723.7</v>
      </c>
    </row>
    <row r="30" customFormat="false" ht="15" hidden="false" customHeight="true" outlineLevel="0" collapsed="false">
      <c r="B30" s="18" t="s">
        <v>147</v>
      </c>
      <c r="C30" s="21" t="n">
        <f aca="false">C29*Assumptions!$C$42</f>
        <v>21.938</v>
      </c>
      <c r="D30" s="21" t="n">
        <f aca="false">D29*Assumptions!$C$42</f>
        <v>25.072</v>
      </c>
      <c r="E30" s="21" t="n">
        <f aca="false">E29*Assumptions!$C$42</f>
        <v>28.206</v>
      </c>
      <c r="F30" s="21" t="n">
        <f aca="false">F29*Assumptions!$C$42</f>
        <v>31.34</v>
      </c>
      <c r="G30" s="21" t="n">
        <f aca="false">G29*Assumptions!$C$42</f>
        <v>34.474</v>
      </c>
    </row>
    <row r="31" customFormat="false" ht="15" hidden="false" customHeight="true" outlineLevel="0" collapsed="false">
      <c r="B31" s="18" t="s">
        <v>148</v>
      </c>
      <c r="C31" s="21" t="n">
        <f aca="false">Assumptions!$C$21+Assumptions!$C$18*Assumptions!$C$41+C30</f>
        <v>3648.848</v>
      </c>
      <c r="D31" s="21" t="n">
        <f aca="false">Assumptions!$C$21+Assumptions!$C$18*Assumptions!$C$41+D30</f>
        <v>3651.982</v>
      </c>
      <c r="E31" s="21" t="n">
        <f aca="false">Assumptions!$C$21+Assumptions!$C$18*Assumptions!$C$41+E30</f>
        <v>3655.116</v>
      </c>
      <c r="F31" s="21" t="n">
        <f aca="false">Assumptions!$C$21+Assumptions!$C$18*Assumptions!$C$41+F30</f>
        <v>3658.25</v>
      </c>
      <c r="G31" s="21" t="n">
        <f aca="false">Assumptions!$C$21+Assumptions!$C$18*Assumptions!$C$41+G30</f>
        <v>3661.384</v>
      </c>
    </row>
    <row r="32" customFormat="false" ht="15" hidden="false" customHeight="true" outlineLevel="0" collapsed="false">
      <c r="B32" s="18" t="s">
        <v>149</v>
      </c>
      <c r="C32" s="21" t="n">
        <f aca="false">C31-C29-(Assumptions!$C$12-Assumptions!$C$40)</f>
        <v>2156.048</v>
      </c>
      <c r="D32" s="21" t="n">
        <f aca="false">D31-D29-(Assumptions!$C$12-Assumptions!$C$40)</f>
        <v>2002.482</v>
      </c>
      <c r="E32" s="21" t="n">
        <f aca="false">E31-E29-(Assumptions!$C$12-Assumptions!$C$40)</f>
        <v>1848.916</v>
      </c>
      <c r="F32" s="21" t="n">
        <f aca="false">F31-F29-(Assumptions!$C$12-Assumptions!$C$40)</f>
        <v>1695.35</v>
      </c>
      <c r="G32" s="21" t="n">
        <f aca="false">G31-G29-(Assumptions!$C$12-Assumptions!$C$40)</f>
        <v>1541.784</v>
      </c>
    </row>
    <row r="33" customFormat="false" ht="15" hidden="false" customHeight="true" outlineLevel="0" collapsed="false">
      <c r="B33" s="18" t="s">
        <v>150</v>
      </c>
      <c r="C33" s="21" t="n">
        <f aca="false">'Debt Schedule'!C7-'Debt Schedule'!H21</f>
        <v>1095.81086391785</v>
      </c>
      <c r="D33" s="47"/>
      <c r="E33" s="47"/>
      <c r="F33" s="47"/>
      <c r="G33" s="47"/>
    </row>
    <row r="34" customFormat="false" ht="15" hidden="false" customHeight="true" outlineLevel="0" collapsed="false">
      <c r="B34" s="18" t="s">
        <v>151</v>
      </c>
      <c r="C34" s="21" t="n">
        <f aca="false">MAX(0,C29-$C$33)</f>
        <v>1.08913608215244</v>
      </c>
      <c r="D34" s="21" t="n">
        <f aca="false">MAX(0,D29-$C$33)</f>
        <v>157.789136082152</v>
      </c>
      <c r="E34" s="21" t="n">
        <f aca="false">MAX(0,E29-$C$33)</f>
        <v>314.489136082153</v>
      </c>
      <c r="F34" s="21" t="n">
        <f aca="false">MAX(0,F29-$C$33)</f>
        <v>471.189136082153</v>
      </c>
      <c r="G34" s="21" t="n">
        <f aca="false">MAX(0,G29-$C$33)</f>
        <v>627.889136082152</v>
      </c>
    </row>
    <row r="36" customFormat="false" ht="15" hidden="false" customHeight="true" outlineLevel="0" collapsed="false">
      <c r="B36" s="5" t="s">
        <v>152</v>
      </c>
    </row>
    <row r="37" customFormat="false" ht="15" hidden="false" customHeight="true" outlineLevel="0" collapsed="false">
      <c r="B37" s="18" t="s">
        <v>153</v>
      </c>
      <c r="C37" s="48" t="n">
        <f aca="false">C28</f>
        <v>3.5</v>
      </c>
      <c r="D37" s="48" t="n">
        <f aca="false">D28</f>
        <v>4</v>
      </c>
      <c r="E37" s="48" t="n">
        <f aca="false">E28</f>
        <v>4.5</v>
      </c>
      <c r="F37" s="48" t="n">
        <f aca="false">F28</f>
        <v>5</v>
      </c>
      <c r="G37" s="48" t="n">
        <f aca="false">G28</f>
        <v>5.5</v>
      </c>
    </row>
    <row r="38" customFormat="false" ht="15" hidden="false" customHeight="true" outlineLevel="0" collapsed="false">
      <c r="B38" s="48" t="n">
        <v>8</v>
      </c>
      <c r="C38" s="23" t="n">
        <f aca="false">((($B38*C5)-C34-($B38*C5)*Assumptions!$C$47+Assumptions!$C$40)/C32)^(1/Assumptions!$C$45)-1</f>
        <v>0.110899387572564</v>
      </c>
      <c r="D38" s="23" t="n">
        <f aca="false">((($B38*C5)-D34-($B38*C5)*Assumptions!$C$47+Assumptions!$C$40)/D32)^(1/Assumptions!$C$45)-1</f>
        <v>0.117580850383881</v>
      </c>
      <c r="E38" s="23" t="n">
        <f aca="false">((($B38*C5)-E34-($B38*C5)*Assumptions!$C$47+Assumptions!$C$40)/E32)^(1/Assumptions!$C$45)-1</f>
        <v>0.125175666906988</v>
      </c>
      <c r="F38" s="23" t="n">
        <f aca="false">((($B38*C5)-F34-($B38*C5)*Assumptions!$C$47+Assumptions!$C$40)/F32)^(1/Assumptions!$C$45)-1</f>
        <v>0.133890049498479</v>
      </c>
      <c r="G38" s="23" t="n">
        <f aca="false">((($B38*C5)-G34-($B38*C5)*Assumptions!$C$47+Assumptions!$C$40)/G32)^(1/Assumptions!$C$45)-1</f>
        <v>0.143999119141496</v>
      </c>
    </row>
    <row r="39" customFormat="false" ht="15" hidden="false" customHeight="true" outlineLevel="0" collapsed="false">
      <c r="B39" s="48" t="n">
        <v>9</v>
      </c>
      <c r="C39" s="23" t="n">
        <f aca="false">((($B39*C5)-C34-($B39*C5)*Assumptions!$C$47+Assumptions!$C$40)/C32)^(1/Assumptions!$C$45)-1</f>
        <v>0.137039971470304</v>
      </c>
      <c r="D39" s="23" t="n">
        <f aca="false">((($B39*C5)-D34-($B39*C5)*Assumptions!$C$47+Assumptions!$C$40)/D32)^(1/Assumptions!$C$45)-1</f>
        <v>0.145003788341533</v>
      </c>
      <c r="E39" s="23" t="n">
        <f aca="false">((($B39*C5)-E34-($B39*C5)*Assumptions!$C$47+Assumptions!$C$40)/E32)^(1/Assumptions!$C$45)-1</f>
        <v>0.154019134306773</v>
      </c>
      <c r="F39" s="23" t="n">
        <f aca="false">((($B39*C5)-F34-($B39*C5)*Assumptions!$C$47+Assumptions!$C$40)/F32)^(1/Assumptions!$C$45)-1</f>
        <v>0.164317191771183</v>
      </c>
      <c r="G39" s="23" t="n">
        <f aca="false">((($B39*C5)-G34-($B39*C5)*Assumptions!$C$47+Assumptions!$C$40)/G32)^(1/Assumptions!$C$45)-1</f>
        <v>0.176204908951294</v>
      </c>
    </row>
    <row r="40" customFormat="false" ht="15" hidden="false" customHeight="true" outlineLevel="0" collapsed="false">
      <c r="B40" s="48" t="n">
        <v>10</v>
      </c>
      <c r="C40" s="49" t="n">
        <f aca="false">((($B40*C5)-C34-($B40*C5)*Assumptions!$C$47+Assumptions!$C$40)/C32)^(1/Assumptions!$C$45)-1</f>
        <v>0.160976666453823</v>
      </c>
      <c r="D40" s="49" t="n">
        <f aca="false">((($B40*C5)-D34-($B40*C5)*Assumptions!$C$47+Assumptions!$C$40)/D32)^(1/Assumptions!$C$45)-1</f>
        <v>0.170026408802587</v>
      </c>
      <c r="E40" s="49" t="n">
        <f aca="false">((($B40*C5)-E34-($B40*C5)*Assumptions!$C$47+Assumptions!$C$40)/E32)^(1/Assumptions!$C$45)-1</f>
        <v>0.180237658541654</v>
      </c>
      <c r="F40" s="49" t="n">
        <f aca="false">((($B40*C5)-F34-($B40*C5)*Assumptions!$C$47+Assumptions!$C$40)/F32)^(1/Assumptions!$C$45)-1</f>
        <v>0.191860694092643</v>
      </c>
      <c r="G40" s="49" t="n">
        <f aca="false">((($B40*C5)-G34-($B40*C5)*Assumptions!$C$47+Assumptions!$C$40)/G32)^(1/Assumptions!$C$45)-1</f>
        <v>0.205226721316512</v>
      </c>
    </row>
    <row r="41" customFormat="false" ht="15" hidden="false" customHeight="true" outlineLevel="0" collapsed="false">
      <c r="B41" s="48" t="n">
        <v>11</v>
      </c>
      <c r="C41" s="23" t="n">
        <f aca="false">((($B41*C5)-C34-($B41*C5)*Assumptions!$C$47+Assumptions!$C$40)/C32)^(1/Assumptions!$C$45)-1</f>
        <v>0.183088025555917</v>
      </c>
      <c r="D41" s="23" t="n">
        <f aca="false">((($B41*C5)-D34-($B41*C5)*Assumptions!$C$47+Assumptions!$C$40)/D32)^(1/Assumptions!$C$45)-1</f>
        <v>0.193075227291752</v>
      </c>
      <c r="E41" s="23" t="n">
        <f aca="false">((($B41*C5)-E34-($B41*C5)*Assumptions!$C$47+Assumptions!$C$40)/E32)^(1/Assumptions!$C$45)-1</f>
        <v>0.204314338783338</v>
      </c>
      <c r="F41" s="23" t="n">
        <f aca="false">((($B41*C5)-F34-($B41*C5)*Assumptions!$C$47+Assumptions!$C$40)/F32)^(1/Assumptions!$C$45)-1</f>
        <v>0.217070942454447</v>
      </c>
      <c r="G41" s="23" t="n">
        <f aca="false">((($B41*C5)-G34-($B41*C5)*Assumptions!$C$47+Assumptions!$C$40)/G32)^(1/Assumptions!$C$45)-1</f>
        <v>0.231695672098484</v>
      </c>
    </row>
    <row r="42" customFormat="false" ht="15" hidden="false" customHeight="true" outlineLevel="0" collapsed="false">
      <c r="B42" s="48" t="n">
        <v>12</v>
      </c>
      <c r="C42" s="23" t="n">
        <f aca="false">((($B42*C5)-C34-($B42*C5)*Assumptions!$C$47+Assumptions!$C$40)/C32)^(1/Assumptions!$C$45)-1</f>
        <v>0.20366019698948</v>
      </c>
      <c r="D42" s="23" t="n">
        <f aca="false">((($B42*C5)-D34-($B42*C5)*Assumptions!$C$47+Assumptions!$C$40)/D32)^(1/Assumptions!$C$45)-1</f>
        <v>0.21446937287086</v>
      </c>
      <c r="E42" s="23" t="n">
        <f aca="false">((($B42*C5)-E34-($B42*C5)*Assumptions!$C$47+Assumptions!$C$40)/E32)^(1/Assumptions!$C$45)-1</f>
        <v>0.22660669093596</v>
      </c>
      <c r="F42" s="23" t="n">
        <f aca="false">((($B42*C5)-F34-($B42*C5)*Assumptions!$C$47+Assumptions!$C$40)/F32)^(1/Assumptions!$C$45)-1</f>
        <v>0.240350443683852</v>
      </c>
      <c r="G42" s="23" t="n">
        <f aca="false">((($B42*C5)-G34-($B42*C5)*Assumptions!$C$47+Assumptions!$C$40)/G32)^(1/Assumptions!$C$45)-1</f>
        <v>0.256067412901427</v>
      </c>
    </row>
    <row r="44" customFormat="false" ht="15" hidden="false" customHeight="true" outlineLevel="0" collapsed="false">
      <c r="B44" s="5" t="s">
        <v>154</v>
      </c>
    </row>
    <row r="45" customFormat="false" ht="15" hidden="false" customHeight="true" outlineLevel="0" collapsed="false">
      <c r="B45" s="18" t="s">
        <v>153</v>
      </c>
      <c r="C45" s="48" t="n">
        <f aca="false">C28</f>
        <v>3.5</v>
      </c>
      <c r="D45" s="48" t="n">
        <f aca="false">D28</f>
        <v>4</v>
      </c>
      <c r="E45" s="48" t="n">
        <f aca="false">E28</f>
        <v>4.5</v>
      </c>
      <c r="F45" s="48" t="n">
        <f aca="false">F28</f>
        <v>5</v>
      </c>
      <c r="G45" s="48" t="n">
        <f aca="false">G28</f>
        <v>5.5</v>
      </c>
    </row>
    <row r="46" customFormat="false" ht="15" hidden="false" customHeight="true" outlineLevel="0" collapsed="false">
      <c r="B46" s="48" t="n">
        <v>8</v>
      </c>
      <c r="C46" s="37" t="n">
        <f aca="false">(($B46*C5)-C34-($B46*C5)*Assumptions!$C$47+Assumptions!$C$40)/C32</f>
        <v>1.69189589511236</v>
      </c>
      <c r="D46" s="37" t="n">
        <f aca="false">(($B46*C5)-D34-($B46*C5)*Assumptions!$C$47+Assumptions!$C$40)/D32</f>
        <v>1.74339083240958</v>
      </c>
      <c r="E46" s="37" t="n">
        <f aca="false">(($B46*C5)-E34-($B46*C5)*Assumptions!$C$47+Assumptions!$C$40)/E32</f>
        <v>1.80343983223965</v>
      </c>
      <c r="F46" s="37" t="n">
        <f aca="false">(($B46*C5)-F34-($B46*C5)*Assumptions!$C$47+Assumptions!$C$40)/F32</f>
        <v>1.874367393674</v>
      </c>
      <c r="G46" s="37" t="n">
        <f aca="false">(($B46*C5)-G34-($B46*C5)*Assumptions!$C$47+Assumptions!$C$40)/G32</f>
        <v>1.95942412222802</v>
      </c>
    </row>
    <row r="47" customFormat="false" ht="15" hidden="false" customHeight="true" outlineLevel="0" collapsed="false">
      <c r="B47" s="48" t="n">
        <v>9</v>
      </c>
      <c r="C47" s="37" t="n">
        <f aca="false">(($B47*C5)-C34-($B47*C5)*Assumptions!$C$47+Assumptions!$C$40)/C32</f>
        <v>1.90054720395076</v>
      </c>
      <c r="D47" s="37" t="n">
        <f aca="false">(($B47*C5)-D34-($B47*C5)*Assumptions!$C$47+Assumptions!$C$40)/D32</f>
        <v>1.96804315743344</v>
      </c>
      <c r="E47" s="37" t="n">
        <f aca="false">(($B47*C5)-E34-($B47*C5)*Assumptions!$C$47+Assumptions!$C$40)/E32</f>
        <v>2.04675117635611</v>
      </c>
      <c r="F47" s="37" t="n">
        <f aca="false">(($B47*C5)-F34-($B47*C5)*Assumptions!$C$47+Assumptions!$C$40)/F32</f>
        <v>2.13971805113023</v>
      </c>
      <c r="G47" s="37" t="n">
        <f aca="false">(($B47*C5)-G34-($B47*C5)*Assumptions!$C$47+Assumptions!$C$40)/G32</f>
        <v>2.2512044475644</v>
      </c>
    </row>
    <row r="48" customFormat="false" ht="15" hidden="false" customHeight="true" outlineLevel="0" collapsed="false">
      <c r="B48" s="48" t="n">
        <v>10</v>
      </c>
      <c r="C48" s="50" t="n">
        <f aca="false">(($B48*C5)-C34-($B48*C5)*Assumptions!$C$47+Assumptions!$C$40)/C32</f>
        <v>2.10919851278916</v>
      </c>
      <c r="D48" s="50" t="n">
        <f aca="false">(($B48*C5)-D34-($B48*C5)*Assumptions!$C$47+Assumptions!$C$40)/D32</f>
        <v>2.19269548245729</v>
      </c>
      <c r="E48" s="50" t="n">
        <f aca="false">(($B48*C5)-E34-($B48*C5)*Assumptions!$C$47+Assumptions!$C$40)/E32</f>
        <v>2.29006252047256</v>
      </c>
      <c r="F48" s="50" t="n">
        <f aca="false">(($B48*C5)-F34-($B48*C5)*Assumptions!$C$47+Assumptions!$C$40)/F32</f>
        <v>2.40506870858646</v>
      </c>
      <c r="G48" s="50" t="n">
        <f aca="false">(($B48*C5)-G34-($B48*C5)*Assumptions!$C$47+Assumptions!$C$40)/G32</f>
        <v>2.54298477290077</v>
      </c>
    </row>
    <row r="49" customFormat="false" ht="15" hidden="false" customHeight="true" outlineLevel="0" collapsed="false">
      <c r="B49" s="48" t="n">
        <v>11</v>
      </c>
      <c r="C49" s="37" t="n">
        <f aca="false">(($B49*C5)-C34-($B49*C5)*Assumptions!$C$47+Assumptions!$C$40)/C32</f>
        <v>2.31784982162757</v>
      </c>
      <c r="D49" s="37" t="n">
        <f aca="false">(($B49*C5)-D34-($B49*C5)*Assumptions!$C$47+Assumptions!$C$40)/D32</f>
        <v>2.41734780748115</v>
      </c>
      <c r="E49" s="37" t="n">
        <f aca="false">(($B49*C5)-E34-($B49*C5)*Assumptions!$C$47+Assumptions!$C$40)/E32</f>
        <v>2.53337386458902</v>
      </c>
      <c r="F49" s="37" t="n">
        <f aca="false">(($B49*C5)-F34-($B49*C5)*Assumptions!$C$47+Assumptions!$C$40)/F32</f>
        <v>2.67041936604269</v>
      </c>
      <c r="G49" s="37" t="n">
        <f aca="false">(($B49*C5)-G34-($B49*C5)*Assumptions!$C$47+Assumptions!$C$40)/G32</f>
        <v>2.83476509823715</v>
      </c>
    </row>
    <row r="50" customFormat="false" ht="15" hidden="false" customHeight="true" outlineLevel="0" collapsed="false">
      <c r="B50" s="48" t="n">
        <v>12</v>
      </c>
      <c r="C50" s="37" t="n">
        <f aca="false">(($B50*C5)-C34-($B50*C5)*Assumptions!$C$47+Assumptions!$C$40)/C32</f>
        <v>2.52650113046597</v>
      </c>
      <c r="D50" s="37" t="n">
        <f aca="false">(($B50*C5)-D34-($B50*C5)*Assumptions!$C$47+Assumptions!$C$40)/D32</f>
        <v>2.64200013250501</v>
      </c>
      <c r="E50" s="37" t="n">
        <f aca="false">(($B50*C5)-E34-($B50*C5)*Assumptions!$C$47+Assumptions!$C$40)/E32</f>
        <v>2.77668520870547</v>
      </c>
      <c r="F50" s="37" t="n">
        <f aca="false">(($B50*C5)-F34-($B50*C5)*Assumptions!$C$47+Assumptions!$C$40)/F32</f>
        <v>2.93577002349892</v>
      </c>
      <c r="G50" s="37" t="n">
        <f aca="false">(($B50*C5)-G34-($B50*C5)*Assumptions!$C$47+Assumptions!$C$40)/G32</f>
        <v>3.12654542357353</v>
      </c>
    </row>
    <row r="53" customFormat="false" ht="15" hidden="false" customHeight="true" outlineLevel="0" collapsed="false">
      <c r="B53" s="32" t="s">
        <v>155</v>
      </c>
      <c r="C53" s="32"/>
      <c r="D53" s="32"/>
      <c r="E53" s="32"/>
      <c r="F53" s="32"/>
      <c r="G53" s="32"/>
      <c r="H53" s="32"/>
      <c r="I53" s="32"/>
    </row>
  </sheetData>
  <mergeCells count="4">
    <mergeCell ref="B2:H2"/>
    <mergeCell ref="B25:I25"/>
    <mergeCell ref="D33:G33"/>
    <mergeCell ref="B53:I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2026-08-28T18:33:17Z</dcterms:created>
  <dc:creator>openpyxl</dc:creator>
  <dc:description/>
  <dc:language>en-US</dc:language>
  <cp:lastModifiedBy/>
  <dcterms:modified xsi:type="dcterms:W3CDTF">2026-08-30T08:20:12Z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