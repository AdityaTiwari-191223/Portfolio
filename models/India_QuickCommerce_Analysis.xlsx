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Market &amp; History" sheetId="2" state="visible" r:id="rId4"/>
    <sheet name="Company Data" sheetId="3" state="visible" r:id="rId5"/>
    <sheet name="Reported vs Real" sheetId="4" state="visible" r:id="rId6"/>
    <sheet name="Regulatory Risk" sheetId="5" state="visible" r:id="rId7"/>
  </sheet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C6" authorId="0">
      <text>
        <r>
          <rPr>
            <sz val="10"/>
            <rFont val="Arial"/>
            <family val="2"/>
          </rPr>
          <t xml:space="preserve">Eternal FY26 annual results; Blinkit segment revenue. Source: Entrackr, Jun 9, 2026.</t>
        </r>
      </text>
    </comment>
    <comment ref="C8" authorId="0">
      <text>
        <r>
          <rPr>
            <sz val="10"/>
            <rFont val="Arial"/>
            <family val="2"/>
          </rPr>
          <t xml:space="preserve">First full-year positive Adjusted EBITDA. Source: Entrackr, Jun 9, 2026.</t>
        </r>
      </text>
    </comment>
    <comment ref="C12" authorId="0">
      <text>
        <r>
          <rPr>
            <sz val="10"/>
            <rFont val="Arial"/>
            <family val="2"/>
          </rPr>
          <t xml:space="preserve">As of Q4 FY26 (Mar-26). Q1 FY27 count not independently confirmed this pass.</t>
        </r>
      </text>
    </comment>
    <comment ref="C13" authorId="0">
      <text>
        <r>
          <rPr>
            <sz val="10"/>
            <rFont val="Arial"/>
            <family val="2"/>
          </rPr>
          <t xml:space="preserve">Management disclosure. Source: Business Standard, Jul 23, 2026.</t>
        </r>
      </text>
    </comment>
    <comment ref="C22" authorId="0">
      <text>
        <r>
          <rPr>
            <sz val="10"/>
            <rFont val="Arial"/>
            <family val="2"/>
          </rPr>
          <t xml:space="preserve">Approx., back-solved from the disclosed 440bps YoY improvement.</t>
        </r>
      </text>
    </comment>
    <comment ref="C32" authorId="0">
      <text>
        <r>
          <rPr>
            <sz val="10"/>
            <rFont val="Arial"/>
            <family val="2"/>
          </rPr>
          <t xml:space="preserve">+129% YoY per DRHP. NOTE: this figure does not match Zepto's own RoC filing for the same year (see flag below).</t>
        </r>
      </text>
    </comment>
    <comment ref="C33" authorId="0">
      <text>
        <r>
          <rPr>
            <sz val="10"/>
            <rFont val="Arial"/>
            <family val="2"/>
          </rPr>
          <t xml:space="preserve">~₹1,441cr LOWER than the DRHP figure for the identical FY25 — a genuine, documented discrepancy between Zepto's statutory RoC filing and its own IPO prospectus. Likely reflects consolidation/restatement differences (Zepto redomiciled from Singapore to India in Jan 2025) but the company has not clearly reconciled the two in public commentary. Source: Multibagg Market Pulse, May 6, 2026.</t>
        </r>
      </text>
    </comment>
    <comment ref="C34" authorId="0">
      <text>
        <r>
          <rPr>
            <sz val="10"/>
            <rFont val="Arial"/>
            <family val="2"/>
          </rPr>
          <t xml:space="preserve">+40% YoY per DRHP.</t>
        </r>
      </text>
    </comment>
    <comment ref="C35" authorId="0">
      <text>
        <r>
          <rPr>
            <sz val="10"/>
            <rFont val="Arial"/>
            <family val="2"/>
          </rPr>
          <t xml:space="preserve">~₹1,332cr LOWER than the DRHP figure for the identical FY25. Same reconciliation gap as the revenue line above — flagged, not resolved, in available public sources.</t>
        </r>
      </text>
    </comment>
    <comment ref="D6" authorId="0">
      <text>
        <r>
          <rPr>
            <sz val="10"/>
            <rFont val="Arial"/>
            <family val="2"/>
          </rPr>
          <t xml:space="preserve">Q1 FY27 (Apr-Jun 2026). NOTE: Blinkit shifted to a 1P (first-party) inventory model in FY26-27, meaning it now books the FULL retail value of goods sold as revenue, not just commission — this is a major driver of the eye-catching YoY growth rates below and is NOT purely organic growth. Source: multiple, Jul 22-23, 2026.</t>
        </r>
      </text>
    </comment>
    <comment ref="D7" authorId="0">
      <text>
        <r>
          <rPr>
            <sz val="10"/>
            <rFont val="Arial"/>
            <family val="2"/>
          </rPr>
          <t xml:space="preserve">Q1 FY27 NOV +86% YoY. Source: Analytics Insight, Jul 23, 2026.</t>
        </r>
      </text>
    </comment>
    <comment ref="D8" authorId="0">
      <text>
        <r>
          <rPr>
            <sz val="10"/>
            <rFont val="Arial"/>
            <family val="2"/>
          </rPr>
          <t xml:space="preserve">5th consecutive quarter of improvement. Source: Business Standard, Jul 23, 2026.</t>
        </r>
      </text>
    </comment>
    <comment ref="D10" authorId="0">
      <text>
        <r>
          <rPr>
            <sz val="10"/>
            <rFont val="Arial"/>
            <family val="2"/>
          </rPr>
          <t xml:space="preserve">Up from ₹360cr a year ago. Source: IndMoney, Jul 22, 2026.</t>
        </r>
      </text>
    </comment>
    <comment ref="D11" authorId="0">
      <text>
        <r>
          <rPr>
            <sz val="10"/>
            <rFont val="Arial"/>
            <family val="2"/>
          </rPr>
          <t xml:space="preserve">Up from 3.9% a year ago — this is the metric BEFORE central overhead, marketing, and most fixed costs; a materially friendlier number than Adjusted EBITDA margin above.</t>
        </r>
      </text>
    </comment>
    <comment ref="D14" authorId="0">
      <text>
        <r>
          <rPr>
            <sz val="10"/>
            <rFont val="Arial"/>
            <family val="2"/>
          </rPr>
          <t xml:space="preserve">Forward TARGET, not achieved current ROCE — treat as guidance, not fact. Source: Business Standard, Jul 23, 2026.</t>
        </r>
      </text>
    </comment>
    <comment ref="D16" authorId="0">
      <text>
        <r>
          <rPr>
            <sz val="10"/>
            <rFont val="Arial"/>
            <family val="2"/>
          </rPr>
          <t xml:space="preserve">6x Blinkit's Q1 FY27 Adjusted EBITDA of ₹102cr, despite food delivery now being the SMALLER business by order value. Source: IndMoney, Jul 22, 2026.</t>
        </r>
      </text>
    </comment>
    <comment ref="D20" authorId="0">
      <text>
        <r>
          <rPr>
            <sz val="10"/>
            <rFont val="Arial"/>
            <family val="2"/>
          </rPr>
          <t xml:space="preserve">+39.8% YoY. Source: BW Marketing World, Jul 30, 2026.</t>
        </r>
      </text>
    </comment>
    <comment ref="D21" authorId="0">
      <text>
        <r>
          <rPr>
            <sz val="10"/>
            <rFont val="Arial"/>
            <family val="2"/>
          </rPr>
          <t xml:space="preserve">+53% YoY. Source: YourStory, Jul 31, 2026.</t>
        </r>
      </text>
    </comment>
    <comment ref="D22" authorId="0">
      <text>
        <r>
          <rPr>
            <sz val="10"/>
            <rFont val="Arial"/>
            <family val="2"/>
          </rPr>
          <t xml:space="preserve">Company calls this 'contribution breakeven,' achieved in May 2026 — still technically negative, and BEFORE central marketing/overhead. Source: multiple, Jul 30-31, 2026.</t>
        </r>
      </text>
    </comment>
    <comment ref="D23" authorId="0">
      <text>
        <r>
          <rPr>
            <sz val="10"/>
            <rFont val="Arial"/>
            <family val="2"/>
          </rPr>
          <t xml:space="preserve">Loss narrowed but still substantial — the metric AFTER overhead allocation. Source: BW Marketing World, Jul 30, 2026 (most-cited figure; some secondary sources cite a slightly different consolidated adjusted-EBITDA-loss figure of ~₹650cr, illustrating how inconsistently even 'adjusted' metrics get reported across the financial press for the same quarter).</t>
        </r>
      </text>
    </comment>
    <comment ref="D24" authorId="0">
      <text>
        <r>
          <rPr>
            <sz val="10"/>
            <rFont val="Arial"/>
            <family val="2"/>
          </rPr>
          <t xml:space="preserve">Across 131 cities, 4.9mn sq ft. Source: YourStory, Jul 31, 2026.</t>
        </r>
      </text>
    </comment>
    <comment ref="D25" authorId="0">
      <text>
        <r>
          <rPr>
            <sz val="10"/>
            <rFont val="Arial"/>
            <family val="2"/>
          </rPr>
          <t xml:space="preserve">+27.4% YoY (company-wide MTU, not Instamart-specific).</t>
        </r>
      </text>
    </comment>
    <comment ref="D27" authorId="0">
      <text>
        <r>
          <rPr>
            <sz val="10"/>
            <rFont val="Arial"/>
            <family val="2"/>
          </rPr>
          <t xml:space="preserve">Management's own disclosed target — a genuine, useful measure of distance-to-real-profitability rather than a vague promise. Source: India Hood, Jul 30, 2026.</t>
        </r>
      </text>
    </comment>
    <comment ref="D28" authorId="0">
      <text>
        <r>
          <rPr>
            <sz val="10"/>
            <rFont val="Arial"/>
            <family val="2"/>
          </rPr>
          <t xml:space="preserve">Swiggy discontinued serving over 4 million users it deemed structurally unprofitable to reach 'contribution breakeven' — part of how the breakeven number was achieved, not purely an efficiency gain. Source: India Hood, Jul 30, 2026.</t>
        </r>
      </text>
    </comment>
    <comment ref="D32" authorId="0">
      <text>
        <r>
          <rPr>
            <sz val="10"/>
            <rFont val="Arial"/>
            <family val="2"/>
          </rPr>
          <t xml:space="preserve">+104% YoY — revenue roughly doubled. Source: Inc42/Entrackr, Jun 9-10, 2026.</t>
        </r>
      </text>
    </comment>
    <comment ref="D34" authorId="0">
      <text>
        <r>
          <rPr>
            <sz val="10"/>
            <rFont val="Arial"/>
            <family val="2"/>
          </rPr>
          <t xml:space="preserve">+26% YoY — losses WIDENED even as revenue doubled. Source: Inc42, Jun 9, 2026.</t>
        </r>
      </text>
    </comment>
    <comment ref="D36" authorId="0">
      <text>
        <r>
          <rPr>
            <sz val="10"/>
            <rFont val="Arial"/>
            <family val="2"/>
          </rPr>
          <t xml:space="preserve">+11.5% YoY — the 'friendlier' metric is ALSO getting worse in absolute terms, even as per-order losses (below) improve.</t>
        </r>
      </text>
    </comment>
    <comment ref="D38" authorId="0">
      <text>
        <r>
          <rPr>
            <sz val="10"/>
            <rFont val="Arial"/>
            <family val="2"/>
          </rPr>
          <t xml:space="preserve">Extraordinarily negative — for context, the Valuation Engine in this analyst's companion banking-sector report used a 13-14% COST of equity as a hurdle rate; Zepto is running roughly 90 percentage points below that.</t>
        </r>
      </text>
    </comment>
    <comment ref="D39" authorId="0">
      <text>
        <r>
          <rPr>
            <sz val="10"/>
            <rFont val="Arial"/>
            <family val="2"/>
          </rPr>
          <t xml:space="preserve">Genuine improvement — the clearest evidence that unit economics ARE getting better, even while absolute losses grow because volume is growing faster than the per-order loss is shrinking.</t>
        </r>
      </text>
    </comment>
    <comment ref="D42" authorId="0">
      <text>
        <r>
          <rPr>
            <sz val="10"/>
            <rFont val="Arial"/>
            <family val="2"/>
          </rPr>
          <t xml:space="preserve">+151% YoY, and up ~33x from just ₹49cr in FY24. Now 7.8% of 'Net Receivables Value' vs 1.1% in FY24 — a classic lever for propping up reported revenue/margin optics: charging brand partners for platform visibility is high-margin and doesn't reflect delivery unit economics improving. Worth watching, not necessarily a red flag on its own — Amazon and Flipkart monetize similarly — but it IS inflating the growth and margin story.</t>
        </r>
      </text>
    </comment>
    <comment ref="D43" authorId="0">
      <text>
        <r>
          <rPr>
            <sz val="10"/>
            <rFont val="Arial"/>
            <family val="2"/>
          </rPr>
          <t xml:space="preserve">Current assets were ₹9,638cr — most of that is NOT cash (inventory, receivables). This gap is part of why the IPO is urgent despite a valuation haircut (below).</t>
        </r>
      </text>
    </comment>
    <comment ref="D44" authorId="0">
      <text>
        <r>
          <rPr>
            <sz val="10"/>
            <rFont val="Arial"/>
            <family val="2"/>
          </rPr>
          <t xml:space="preserve">Real cash burn, not just an accounting loss.</t>
        </r>
      </text>
    </comment>
    <comment ref="D46" authorId="0">
      <text>
        <r>
          <rPr>
            <sz val="10"/>
            <rFont val="Arial"/>
            <family val="2"/>
          </rPr>
          <t xml:space="preserve">A 15-20% valuation haircut to list — public-market investors were not willing to pay the last private round's price. DRHP filed Jun 8, 2026, targeting ~₹11,000-12,000cr raise. Source: Ziro Market, Jun 9, 2026.</t>
        </r>
      </text>
    </comment>
    <comment ref="D47" authorId="0">
      <text>
        <r>
          <rPr>
            <sz val="10"/>
            <rFont val="Arial"/>
            <family val="2"/>
          </rPr>
          <t xml:space="preserve">Zepto's own DRHP discloses an Enforcement Directorate summons to its founders under FEMA (foreign exchange regulations) — a genuine, company-disclosed legal risk, not speculation. Source: Multibagg Market Pulse, Jun 16, 2026.</t>
        </r>
      </text>
    </comment>
  </commentList>
</comments>
</file>

<file path=xl/sharedStrings.xml><?xml version="1.0" encoding="utf-8"?>
<sst xmlns="http://schemas.openxmlformats.org/spreadsheetml/2006/main" count="174" uniqueCount="153">
  <si>
    <t xml:space="preserve">India Quick Commerce — Seeing Through the Numbers</t>
  </si>
  <si>
    <t xml:space="preserve">A forensic deep dive on Blinkit, Instamart &amp; Zepto — what 'profitable' really means in this sector</t>
  </si>
  <si>
    <t xml:space="preserve">Universe:</t>
  </si>
  <si>
    <t xml:space="preserve">Blinkit (Eternal), Instamart (Swiggy), Zepto (private, IPO-bound)</t>
  </si>
  <si>
    <t xml:space="preserve">Data as of:</t>
  </si>
  <si>
    <t xml:space="preserve">FY26 annual + Q1 FY27 results (Jul-Aug 2026 reporting); Zepto DRHP filed Jun 2026</t>
  </si>
  <si>
    <t xml:space="preserve">Contents</t>
  </si>
  <si>
    <t xml:space="preserve">Market &amp; History</t>
  </si>
  <si>
    <t xml:space="preserve">Origin timeline (2020-2026), market size estimates, share, and store-density economics</t>
  </si>
  <si>
    <t xml:space="preserve">Company Data</t>
  </si>
  <si>
    <t xml:space="preserve">Full forensic financials — every metric each company reports, on the same page</t>
  </si>
  <si>
    <t xml:space="preserve">Reported vs Real</t>
  </si>
  <si>
    <t xml:space="preserve">The metric ladder (GOV→Revenue→Contribution→Adj. EBITDA→Net Loss) and where each company's headline actually sits on it</t>
  </si>
  <si>
    <t xml:space="preserve">Regulatory Risk</t>
  </si>
  <si>
    <t xml:space="preserve">FDI structure challenge, kirana impact, gig worker codes, food safety liability</t>
  </si>
  <si>
    <t xml:space="preserve">The Headline Finding</t>
  </si>
  <si>
    <t xml:space="preserve">Only Blinkit is genuinely profitable by any real measure — and barely (1.1% EBITDA margin, on revenue inflated by an accounting shift). Instamart's 'contribution breakeven' excludes most of its actual cost base and still lost ~₹778cr at the EBITDA line last quarter. Zepto's own RoC filing and its IPO prospectus report two different loss figures for the identical FY25 — a real, unreconciled discrepancy — and its total losses grew 26% in FY26 even as per-order economics improved. The sector is real and growing fast; the profitability claims mostly are not, yet.</t>
  </si>
  <si>
    <t xml:space="preserve">This is an independent, illustrative analysis built for portfolio/interview demonstration purposes using public results, RoC filings and DRHP disclosures. It is not investment advice. See the companion detailed sector report (Word doc) for the full write-up.</t>
  </si>
  <si>
    <t xml:space="preserve">How We Got Here — Origins, Market Size &amp; Share</t>
  </si>
  <si>
    <t xml:space="preserve">A. Origin Timeline</t>
  </si>
  <si>
    <t xml:space="preserve">Date</t>
  </si>
  <si>
    <t xml:space="preserve">Event</t>
  </si>
  <si>
    <t xml:space="preserve">2020</t>
  </si>
  <si>
    <t xml:space="preserve">Swiggy launches Instamart, the first major player to bring 10-minute-style grocery delivery to India, leveraging its existing food-delivery rider network.</t>
  </si>
  <si>
    <t xml:space="preserve">2021</t>
  </si>
  <si>
    <t xml:space="preserve">Zepto founded by Stanford dropouts Aadit Palicha and Kaivalya Vohra, both 19 at the time — pitched purely on the '10-minute delivery' promise, initially domiciled in Singapore.</t>
  </si>
  <si>
    <t xml:space="preserve">2021-22</t>
  </si>
  <si>
    <t xml:space="preserve">Zomato acquires a majority stake in Grofers, which is rebranded Blinkit in Dec 2021 — pivoting from a next-day grocery delivery model to instant/quick commerce.</t>
  </si>
  <si>
    <t xml:space="preserve">2022-23</t>
  </si>
  <si>
    <t xml:space="preserve">European quick-commerce pioneers Getir and Gorillas collapse/consolidate under losses — an early cautionary signal that the 10-minute model doesn't survive everywhere; India's dramatically lower labour costs and denser cities become the industry's standard explanation for why it might work here instead.</t>
  </si>
  <si>
    <t xml:space="preserve">2023-24</t>
  </si>
  <si>
    <t xml:space="preserve">Dunzo, one of India's original hyperlocal delivery pioneers, runs into a prolonged cash crunch and effectively exits the space — the sector's first major shake-out casualty.</t>
  </si>
  <si>
    <t xml:space="preserve">Jan 2025</t>
  </si>
  <si>
    <t xml:space="preserve">Zepto redomiciles from Singapore to India ahead of a planned IPO, aligning with SEBI listing requirements.</t>
  </si>
  <si>
    <t xml:space="preserve">2025</t>
  </si>
  <si>
    <t xml:space="preserve">BigBasket (Tata Group), Flipkart (Flipkart Minutes) and Amazon (Amazon Now) all launch or scale their own quick-commerce operations — the giants stop watching and start competing directly.</t>
  </si>
  <si>
    <t xml:space="preserve">Q1 FY26 (Jun 2025 qtr)</t>
  </si>
  <si>
    <t xml:space="preserve">Blinkit's order value overtakes Zomato's own food-delivery business for the first time — quick commerce becomes the larger business inside India's largest food-delivery group.</t>
  </si>
  <si>
    <t xml:space="preserve">Jun 2026</t>
  </si>
  <si>
    <t xml:space="preserve">Zepto files an updated DRHP targeting a ~₹11,000-12,000cr IPO at a valuation of $5.6-5.95bn — a 15-20% haircut to its last private round ($7bn).</t>
  </si>
  <si>
    <t xml:space="preserve">2026</t>
  </si>
  <si>
    <t xml:space="preserve">Blinkit posts its first full year of positive Adjusted EBITDA (₹430cr on ₹37,779cr revenue); Swiggy Instamart reaches 'contribution breakeven'; Zepto's losses keep widening in absolute terms.</t>
  </si>
  <si>
    <t xml:space="preserve">B. Market Size &amp; Share Today</t>
  </si>
  <si>
    <t xml:space="preserve">Market size, end-2025</t>
  </si>
  <si>
    <t xml:space="preserve">~$11.5bn / ₹95,500cr (Datum Intelligence, via Reuters, Jan 2026) — though estimates vary widely by methodology, from ~$5-7bn (narrower GMV definitions) up to this figure. The spread itself is informative: even basic sizing of this market isn't settled.</t>
  </si>
  <si>
    <t xml:space="preserve">Projected market size, 2029-2030</t>
  </si>
  <si>
    <t xml:space="preserve">$12.97bn by 2029 (GlobeNewswire); $40bn by 2030 (Redseer); $42bn GOV by 2030, ~18%+ of total e-commerce (Morgan Stanley) — again, a wide range, but every credible estimate points the same direction: continued rapid growth.</t>
  </si>
  <si>
    <t xml:space="preserve">Dark stores operating in India</t>
  </si>
  <si>
    <t xml:space="preserve">6,000+ as of early 2026 (Bernstein) — the world's most competitive quick-commerce market by density of physical infrastructure.</t>
  </si>
  <si>
    <t xml:space="preserve">Market share (Jan 2026, Datum Intelligence/Reuters)</t>
  </si>
  <si>
    <t xml:space="preserve">Blinkit ~46%, Swiggy Instamart ~24%, Zepto ~22%, Amazon Now + Flipkart Minutes + BB Now ~8-10% combined.</t>
  </si>
  <si>
    <t xml:space="preserve">Share of India's online grocery delivery captured from traditional e-commerce</t>
  </si>
  <si>
    <t xml:space="preserve">56% (JPMorgan) — quick commerce hasn't just grown the grocery-delivery pie, it has taken the majority of it from slower delivery models.</t>
  </si>
  <si>
    <t xml:space="preserve">Dark-store order density needed for profitability</t>
  </si>
  <si>
    <t xml:space="preserve">~1,250-1,400 orders/day per store is the breakeven threshold cited for Blinkit's EBITDA-positive stores — the real driver of profitability is density per store, not store count or city coverage.</t>
  </si>
  <si>
    <t xml:space="preserve">All figures independently sourced and dated in the Company Data tab and this sheet; where estimates conflict across providers, both are shown rather than silently picking one.</t>
  </si>
  <si>
    <t xml:space="preserve">The Big Three — Full Forensic Financials</t>
  </si>
  <si>
    <t xml:space="preserve">A. Blinkit (owned by Eternal Ltd, formerly Zomato) — LISTED, most transparent</t>
  </si>
  <si>
    <t xml:space="preserve">Metric</t>
  </si>
  <si>
    <t xml:space="preserve">FY26 (Full Year)</t>
  </si>
  <si>
    <t xml:space="preserve">Q1 FY27 (Jun-26 qtr)</t>
  </si>
  <si>
    <t xml:space="preserve">Revenue (₹cr)</t>
  </si>
  <si>
    <t xml:space="preserve">Net Order Value / NOV (₹cr)</t>
  </si>
  <si>
    <t xml:space="preserve">N/A</t>
  </si>
  <si>
    <t xml:space="preserve">Adjusted EBITDA (₹cr)</t>
  </si>
  <si>
    <t xml:space="preserve">Adjusted EBITDA Margin (% of revenue)</t>
  </si>
  <si>
    <t xml:space="preserve">Contribution (₹cr)</t>
  </si>
  <si>
    <t xml:space="preserve">Contribution Margin (% of NOV)</t>
  </si>
  <si>
    <t xml:space="preserve">Dark stores (count)</t>
  </si>
  <si>
    <t xml:space="preserve">Capex per store (₹cr)</t>
  </si>
  <si>
    <t xml:space="preserve">Management's steady-state ROCE target</t>
  </si>
  <si>
    <t xml:space="preserve">40%</t>
  </si>
  <si>
    <t xml:space="preserve">For context: Food delivery (Zomato) Q1 FY27 Adj. EBITDA</t>
  </si>
  <si>
    <t xml:space="preserve">B. Swiggy Instamart (owned by Swiggy Ltd) — LISTED</t>
  </si>
  <si>
    <t xml:space="preserve">Q1 FY26 (Jun-25 qtr)</t>
  </si>
  <si>
    <t xml:space="preserve">Gross Order Value / GOV (₹cr)</t>
  </si>
  <si>
    <t xml:space="preserve">Contribution Margin (% of GOV)</t>
  </si>
  <si>
    <t xml:space="preserve">Monthly transacting users (mm)</t>
  </si>
  <si>
    <t xml:space="preserve">Orders needed per quarter for real EBITDA breakeven (mgmt. target)</t>
  </si>
  <si>
    <t xml:space="preserve">250-300mm</t>
  </si>
  <si>
    <t xml:space="preserve">Users deliberately stopped serving (unprofitable cohort)</t>
  </si>
  <si>
    <t xml:space="preserve">4mm+</t>
  </si>
  <si>
    <t xml:space="preserve">C. Zepto (Zepto Marketplace Pvt. Ltd.) — PRIVATE, IPO-bound (DRHP filed)</t>
  </si>
  <si>
    <t xml:space="preserve">FY25</t>
  </si>
  <si>
    <t xml:space="preserve">FY26</t>
  </si>
  <si>
    <t xml:space="preserve">Revenue — per updated DRHP (₹cr)</t>
  </si>
  <si>
    <t xml:space="preserve">  ⚠ Same-year revenue per RoC filing (₹cr)</t>
  </si>
  <si>
    <t xml:space="preserve">Net loss — per updated DRHP (₹cr)</t>
  </si>
  <si>
    <t xml:space="preserve">  ⚠ Same-year net loss per RoC filing (₹cr)</t>
  </si>
  <si>
    <t xml:space="preserve">Adjusted EBITDA loss (₹cr)</t>
  </si>
  <si>
    <t xml:space="preserve">EBITDA margin (% of revenue, DRHP basis)</t>
  </si>
  <si>
    <t xml:space="preserve">Return on Capital Employed (ROCE)</t>
  </si>
  <si>
    <t xml:space="preserve">Adjusted EBITDA loss per order, full-year avg (₹)</t>
  </si>
  <si>
    <t xml:space="preserve">Dark stores (count, year-end)</t>
  </si>
  <si>
    <t xml:space="preserve">Orders per day (mm, year-end)</t>
  </si>
  <si>
    <t xml:space="preserve">Advertising revenue (₹cr)</t>
  </si>
  <si>
    <t xml:space="preserve">Cash &amp; bank balance, year-end (₹cr)</t>
  </si>
  <si>
    <t xml:space="preserve">Free cash flow (₹cr)</t>
  </si>
  <si>
    <t xml:space="preserve">IPO valuation vs last private round</t>
  </si>
  <si>
    <t xml:space="preserve">$5.6-5.95bn (from $7bn)</t>
  </si>
  <si>
    <t xml:space="preserve">Disclosed legal/regulatory risk in DRHP</t>
  </si>
  <si>
    <t xml:space="preserve">ED summons (FEMA)</t>
  </si>
  <si>
    <t xml:space="preserve">Every 'positive' metric in this sheet sits somewhere on a spectrum from GOV (most inclusive, least meaningful) → Revenue → Contribution Margin (excludes central overhead/marketing) → Adjusted EBITDA (excludes ESOP and other non-cash items) → Net Loss/PAT (the real number). Company communications lead with whichever metric on that spectrum looks best that quarter — this sheet deliberately shows the whole spectrum for each company so the gap is visible, not just the headline.</t>
  </si>
  <si>
    <t xml:space="preserve">Reported vs. Real — What 'Profitable' Actually Means Here</t>
  </si>
  <si>
    <t xml:space="preserve">Each company reports a different 'best' metric as its headline. This tab puts all three on the same scale (latest reported full year or most comparable period) so the gap between the marketing number and the bottom line is explicit.</t>
  </si>
  <si>
    <t xml:space="preserve">Company</t>
  </si>
  <si>
    <t xml:space="preserve">Headline Metric Used</t>
  </si>
  <si>
    <t xml:space="preserve">Headline Figure</t>
  </si>
  <si>
    <t xml:space="preserve">Actual Bottom Line</t>
  </si>
  <si>
    <t xml:space="preserve">The Gap, Explained</t>
  </si>
  <si>
    <t xml:space="preserve">Blinkit (FY26)</t>
  </si>
  <si>
    <t xml:space="preserve">Adjusted EBITDA</t>
  </si>
  <si>
    <t xml:space="preserve">+₹430cr</t>
  </si>
  <si>
    <t xml:space="preserve">Not separately disclosed</t>
  </si>
  <si>
    <t xml:space="preserve">Genuinely positive — the cleanest 'real' profitability claim of the three, though still a razor-thin 1.1% margin on revenue that itself is inflated by an accounting shift to 1P inventory booking. Blinkit is a segment of Eternal Ltd, not a standalone filer, so no separate net profit/loss line exists below Adjusted EBITDA — unlike Swiggy and Zepto below, there's genuinely nothing further to reconcile against at this level of disclosure.</t>
  </si>
  <si>
    <t xml:space="preserve">Swiggy Instamart (Q1 FY27)</t>
  </si>
  <si>
    <t xml:space="preserve">Contribution Margin</t>
  </si>
  <si>
    <t xml:space="preserve">-0.2% of GOV</t>
  </si>
  <si>
    <t xml:space="preserve">-₹778cr Adj. EBITDA</t>
  </si>
  <si>
    <t xml:space="preserve">'Contribution breakeven' sounds like profitability. It isn't — it excludes central marketing, technology and corporate overhead. The number that includes those costs (Adjusted EBITDA) was still a ~₹778cr quarterly loss, achieved partly by cutting off 4mm+ users the company judged structurally unprofitable.</t>
  </si>
  <si>
    <t xml:space="preserve">Zepto (FY26)</t>
  </si>
  <si>
    <t xml:space="preserve">Improving per-order loss</t>
  </si>
  <si>
    <t xml:space="preserve">₹78.75/order (from ₹136.15)</t>
  </si>
  <si>
    <t xml:space="preserve">-₹5,905cr net loss (DRHP)</t>
  </si>
  <si>
    <t xml:space="preserve">Per-order economics genuinely improved. But total losses still GREW 26% YoY because order volume grew faster than the per-order loss shrank — and the company's own RoC filing and IPO DRHP report two different loss figures for the same prior year (FY25), a discrepancy that remains unreconciled in public disclosure.</t>
  </si>
  <si>
    <t xml:space="preserve">The Metric Ladder (least to most meaningful)</t>
  </si>
  <si>
    <t xml:space="preserve">1. GOV / GMV / NOV (Gross Order Value)</t>
  </si>
  <si>
    <t xml:space="preserve">Total value of goods sold through the platform. Includes money that goes straight to suppliers/sellers — the company never actually earns most of this. The number every press release leads with.</t>
  </si>
  <si>
    <t xml:space="preserve">2. Revenue</t>
  </si>
  <si>
    <t xml:space="preserve">What the company actually books as its own — commission, delivery fees, or (increasingly, per the 1P shift) the full retail value of goods if the company itself owns the inventory. Definitional changes here (marketplace → inventory-led) can dramatically inflate this line without proportional real economic improvement.</t>
  </si>
  <si>
    <t xml:space="preserve">3. Contribution Margin</t>
  </si>
  <si>
    <t xml:space="preserve">Revenue minus DIRECT costs of fulfilling an order (delivery, packaging, wastage, discounts). Excludes central marketing, technology, and corporate overhead — a store-level or order-level number, not a company-level one.</t>
  </si>
  <si>
    <t xml:space="preserve">4. Adjusted EBITDA</t>
  </si>
  <si>
    <t xml:space="preserve">Contribution minus allocated overhead, minus most marketing — but still excludes ESOP costs, depreciation, interest, and tax. The most-quoted 'are we profitable yet' metric in investor calls.</t>
  </si>
  <si>
    <t xml:space="preserve">5. Net Profit / (Loss)</t>
  </si>
  <si>
    <t xml:space="preserve">The real number. Includes everything — ESOP, D&amp;A, interest, tax, one-offs. This is what actually happens to shareholders' equity.</t>
  </si>
  <si>
    <t xml:space="preserve">Rule of thumb for reading any quick-commerce headline: identify which rung of this ladder the number sits on before deciding what it tells you. 'Contribution positive' (rung 3) and 'profitable' (rung 5) are frequently used almost interchangeably in press coverage — they are not the same claim, and the gap between them is exactly where the real cash burn lives.</t>
  </si>
  <si>
    <t xml:space="preserve">Regulatory &amp; Structural Risk</t>
  </si>
  <si>
    <t xml:space="preserve">Issue</t>
  </si>
  <si>
    <t xml:space="preserve">Detail</t>
  </si>
  <si>
    <t xml:space="preserve">The FDI/marketplace structure workaround</t>
  </si>
  <si>
    <t xml:space="preserve">100% FDI is allowed via the automatic route ONLY for a pure marketplace model (no inventory ownership), not multi-brand retail. Quick-commerce platforms structurally rely on 'preferred seller' entities and dark stores to functionally control inventory and pricing while remaining marketplaces on paper — CAIT (Confederation of All India Traders) alleges this is a workaround of FDI retail rules, and has petitioned the CCI (Competition Commission of India) to investigate.</t>
  </si>
  <si>
    <t xml:space="preserve">Kirana / traditional trade impact</t>
  </si>
  <si>
    <t xml:space="preserve">CAIT estimates ~₹54,000cr ($6bn) of FDI has flowed into the sector, claiming only 2-5% goes to genuine infrastructure with the rest funding discounts/losses that undercut small retailers. Cited kirana-store closure figures range enormously (from ~2 lakh to 10 lakh stores depending on source and date) — the inconsistency itself suggests these figures are contested advocacy numbers, not settled data, though directionally there is real share loss from traditional trade.</t>
  </si>
  <si>
    <t xml:space="preserve">Gig worker regulation</t>
  </si>
  <si>
    <t xml:space="preserve">New labour codes effective Nov 2025 formally bring gig workers under social security coverage for the first time; platforms must contribute 1-2% of annual turnover to a social security fund. Draft Social Security Rules (2026) require workers to log 90 days on a platform to qualify for some benefits — still being finalized, a genuine cost line that will scale with order volume, not yet fully reflected in any of the three companies' disclosed cost structures.</t>
  </si>
  <si>
    <t xml:space="preserve">Food safety / liability exposure</t>
  </si>
  <si>
    <t xml:space="preserve">FSSAI has issued notices to Blinkit over spoiled-food complaints, treating the platform as a liable 'food business operator' rather than a neutral intermediary — a meaningfully different (and costlier) liability standard than a pure marketplace defense. Maharashtra's FDA suspended Zepto's Dharavi dark-store license in June 2025 over compliance issues — a real enforcement action, not a hypothetical risk.</t>
  </si>
  <si>
    <t xml:space="preserve">Industry response</t>
  </si>
  <si>
    <t xml:space="preserve">Amazon, Eternal, Meesho, Swiggy and Zepto formed a 'Digital Commerce Coalition' in 2026 — a self-regulation and lobbying response to the mounting regulatory pressure described above.</t>
  </si>
  <si>
    <t xml:space="preserve">Zepto-specific: ED summons under FEMA</t>
  </si>
  <si>
    <t xml:space="preserve">Zepto's own DRHP discloses an Enforcement Directorate summons to its founders under foreign exchange regulations — disclosed by the company itself, not alleged by an outside party, which is itself notable.</t>
  </si>
  <si>
    <t xml:space="preserve">None of these risks individually threatens the sector's existence, but collectively they represent a rising cost base (labour codes, compliance) and a rising legal-structure risk (FDI/marketplace challenge) that isn't reflected in any of the unit-economics figures on the Company Data tab — those figures assume today's regulatory status quo continues.</t>
  </si>
</sst>
</file>

<file path=xl/styles.xml><?xml version="1.0" encoding="utf-8"?>
<styleSheet xmlns="http://schemas.openxmlformats.org/spreadsheetml/2006/main">
  <numFmts count="6">
    <numFmt numFmtId="164" formatCode="General"/>
    <numFmt numFmtId="165" formatCode="#,##0;\(#,##0\);\-"/>
    <numFmt numFmtId="166" formatCode="0.00%"/>
    <numFmt numFmtId="167" formatCode="0.0%"/>
    <numFmt numFmtId="168" formatCode="#,##0.0"/>
    <numFmt numFmtId="169" formatCode="\₹#,##0;&quot;(₹&quot;#,##0\)"/>
  </numFmts>
  <fonts count="18">
    <font>
      <sz val="11"/>
      <color theme="1"/>
      <name val="Calibri"/>
      <family val="2"/>
      <charset val="1"/>
    </font>
    <font>
      <sz val="10"/>
      <name val="Arial"/>
      <family val="0"/>
    </font>
    <font>
      <sz val="10"/>
      <name val="Arial"/>
      <family val="0"/>
    </font>
    <font>
      <sz val="10"/>
      <name val="Arial"/>
      <family val="0"/>
    </font>
    <font>
      <b val="true"/>
      <sz val="17"/>
      <color rgb="FF7C2D12"/>
      <name val="Arial"/>
      <family val="0"/>
      <charset val="1"/>
    </font>
    <font>
      <i val="true"/>
      <sz val="11"/>
      <color rgb="FF4B5563"/>
      <name val="Arial"/>
      <family val="0"/>
      <charset val="1"/>
    </font>
    <font>
      <b val="true"/>
      <sz val="10"/>
      <name val="Arial"/>
      <family val="0"/>
      <charset val="1"/>
    </font>
    <font>
      <sz val="10"/>
      <color rgb="FF0000FF"/>
      <name val="Arial"/>
      <family val="0"/>
      <charset val="1"/>
    </font>
    <font>
      <b val="true"/>
      <sz val="11"/>
      <color rgb="FFFFFFFF"/>
      <name val="Arial"/>
      <family val="0"/>
      <charset val="1"/>
    </font>
    <font>
      <sz val="10"/>
      <name val="Arial"/>
      <family val="0"/>
      <charset val="1"/>
    </font>
    <font>
      <i val="true"/>
      <sz val="8.5"/>
      <color rgb="FF6B7280"/>
      <name val="Arial"/>
      <family val="0"/>
      <charset val="1"/>
    </font>
    <font>
      <b val="true"/>
      <sz val="14"/>
      <name val="Arial"/>
      <family val="0"/>
      <charset val="1"/>
    </font>
    <font>
      <b val="true"/>
      <sz val="9"/>
      <color rgb="FFFFFFFF"/>
      <name val="Arial"/>
      <family val="0"/>
      <charset val="1"/>
    </font>
    <font>
      <i val="true"/>
      <sz val="10"/>
      <color rgb="FF9CA3AF"/>
      <name val="Arial"/>
      <family val="0"/>
      <charset val="1"/>
    </font>
    <font>
      <i val="true"/>
      <sz val="10"/>
      <name val="Arial"/>
      <family val="0"/>
      <charset val="1"/>
    </font>
    <font>
      <sz val="10"/>
      <name val="Arial"/>
      <family val="2"/>
    </font>
    <font>
      <b val="true"/>
      <sz val="10"/>
      <color rgb="FF1E7A3D"/>
      <name val="Arial"/>
      <family val="0"/>
      <charset val="1"/>
    </font>
    <font>
      <b val="true"/>
      <sz val="10"/>
      <color rgb="FFB91C1C"/>
      <name val="Arial"/>
      <family val="0"/>
      <charset val="1"/>
    </font>
  </fonts>
  <fills count="8">
    <fill>
      <patternFill patternType="none"/>
    </fill>
    <fill>
      <patternFill patternType="gray125"/>
    </fill>
    <fill>
      <patternFill patternType="solid">
        <fgColor rgb="FF7C2D12"/>
        <bgColor rgb="FF991B1B"/>
      </patternFill>
    </fill>
    <fill>
      <patternFill patternType="solid">
        <fgColor rgb="FFC2410C"/>
        <bgColor rgb="FFB91C1C"/>
      </patternFill>
    </fill>
    <fill>
      <patternFill patternType="solid">
        <fgColor rgb="FF374151"/>
        <bgColor rgb="FF4B5563"/>
      </patternFill>
    </fill>
    <fill>
      <patternFill patternType="solid">
        <fgColor rgb="FF14532D"/>
        <bgColor rgb="FF374151"/>
      </patternFill>
    </fill>
    <fill>
      <patternFill patternType="solid">
        <fgColor rgb="FF991B1B"/>
        <bgColor rgb="FFB91C1C"/>
      </patternFill>
    </fill>
    <fill>
      <patternFill patternType="solid">
        <fgColor rgb="FF4C1D95"/>
        <bgColor rgb="FF66006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center" textRotation="0" wrapText="false" indent="1"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general" vertical="center" textRotation="0" wrapText="false" indent="1"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4" fontId="8" fillId="5" borderId="0" xfId="0" applyFont="true" applyBorder="false" applyAlignment="true" applyProtection="false">
      <alignment horizontal="general" vertical="center" textRotation="0" wrapText="false" indent="1"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center"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8" fillId="6" borderId="0" xfId="0" applyFont="true" applyBorder="false" applyAlignment="true" applyProtection="false">
      <alignment horizontal="general" vertical="center" textRotation="0" wrapText="false" indent="1"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8" fillId="7" borderId="0" xfId="0" applyFont="true" applyBorder="false" applyAlignment="true" applyProtection="false">
      <alignment horizontal="general" vertical="center" textRotation="0" wrapText="false" indent="1"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91B1B"/>
      <rgbColor rgb="FF1E7A3D"/>
      <rgbColor rgb="FF000080"/>
      <rgbColor rgb="FF808000"/>
      <rgbColor rgb="FF800080"/>
      <rgbColor rgb="FF008080"/>
      <rgbColor rgb="FFC0C0C0"/>
      <rgbColor rgb="FF808080"/>
      <rgbColor rgb="FF9999FF"/>
      <rgbColor rgb="FFB91C1C"/>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B7280"/>
      <rgbColor rgb="FF9CA3AF"/>
      <rgbColor rgb="FF003366"/>
      <rgbColor rgb="FF339966"/>
      <rgbColor rgb="FF14532D"/>
      <rgbColor rgb="FF4B5563"/>
      <rgbColor rgb="FF7C2D12"/>
      <rgbColor rgb="FFC2410C"/>
      <rgbColor rgb="FF4C1D95"/>
      <rgbColor rgb="FF37415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C2D12"/>
    <pageSetUpPr fitToPage="true"/>
  </sheetPr>
  <dimension ref="B2:E1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5" min="3" style="0" width="18"/>
    <col collapsed="false" customWidth="true" hidden="false" outlineLevel="0" max="6" min="6" style="0" width="3"/>
  </cols>
  <sheetData>
    <row r="2" customFormat="false" ht="20.9" hidden="false" customHeight="false" outlineLevel="0" collapsed="false">
      <c r="B2" s="1" t="s">
        <v>0</v>
      </c>
      <c r="C2" s="1"/>
      <c r="D2" s="1"/>
      <c r="E2" s="1"/>
    </row>
    <row r="3" customFormat="false" ht="15" hidden="false" customHeight="false" outlineLevel="0" collapsed="false">
      <c r="B3" s="2" t="s">
        <v>1</v>
      </c>
      <c r="C3" s="2"/>
      <c r="D3" s="2"/>
      <c r="E3" s="2"/>
    </row>
    <row r="5" customFormat="false" ht="15" hidden="false" customHeight="false" outlineLevel="0" collapsed="false">
      <c r="B5" s="3" t="s">
        <v>2</v>
      </c>
      <c r="C5" s="4" t="s">
        <v>3</v>
      </c>
      <c r="D5" s="4"/>
      <c r="E5" s="4"/>
    </row>
    <row r="6" customFormat="false" ht="15" hidden="false" customHeight="false" outlineLevel="0" collapsed="false">
      <c r="B6" s="3" t="s">
        <v>4</v>
      </c>
      <c r="C6" s="4" t="s">
        <v>5</v>
      </c>
      <c r="D6" s="4"/>
      <c r="E6" s="4"/>
    </row>
    <row r="8" customFormat="false" ht="19.5" hidden="false" customHeight="true" outlineLevel="0" collapsed="false">
      <c r="B8" s="5" t="s">
        <v>6</v>
      </c>
      <c r="C8" s="6"/>
      <c r="D8" s="6"/>
      <c r="E8" s="6"/>
    </row>
    <row r="9" customFormat="false" ht="27.75" hidden="false" customHeight="true" outlineLevel="0" collapsed="false">
      <c r="B9" s="3" t="s">
        <v>7</v>
      </c>
      <c r="C9" s="7" t="s">
        <v>8</v>
      </c>
      <c r="D9" s="7"/>
      <c r="E9" s="7"/>
    </row>
    <row r="10" customFormat="false" ht="27.75" hidden="false" customHeight="true" outlineLevel="0" collapsed="false">
      <c r="B10" s="3" t="s">
        <v>9</v>
      </c>
      <c r="C10" s="7" t="s">
        <v>10</v>
      </c>
      <c r="D10" s="7"/>
      <c r="E10" s="7"/>
    </row>
    <row r="11" customFormat="false" ht="27.75" hidden="false" customHeight="true" outlineLevel="0" collapsed="false">
      <c r="B11" s="3" t="s">
        <v>11</v>
      </c>
      <c r="C11" s="7" t="s">
        <v>12</v>
      </c>
      <c r="D11" s="7"/>
      <c r="E11" s="7"/>
    </row>
    <row r="12" customFormat="false" ht="27.75" hidden="false" customHeight="true" outlineLevel="0" collapsed="false">
      <c r="B12" s="3" t="s">
        <v>13</v>
      </c>
      <c r="C12" s="7" t="s">
        <v>14</v>
      </c>
      <c r="D12" s="7"/>
      <c r="E12" s="7"/>
    </row>
    <row r="14" customFormat="false" ht="19.5" hidden="false" customHeight="true" outlineLevel="0" collapsed="false">
      <c r="B14" s="5" t="s">
        <v>15</v>
      </c>
      <c r="C14" s="6"/>
      <c r="D14" s="6"/>
      <c r="E14" s="6"/>
    </row>
    <row r="15" customFormat="false" ht="79.5" hidden="false" customHeight="true" outlineLevel="0" collapsed="false">
      <c r="B15" s="7" t="s">
        <v>16</v>
      </c>
      <c r="C15" s="7"/>
      <c r="D15" s="7"/>
      <c r="E15" s="7"/>
    </row>
    <row r="17" customFormat="false" ht="19.4" hidden="false" customHeight="true" outlineLevel="0" collapsed="false">
      <c r="B17" s="8" t="s">
        <v>17</v>
      </c>
      <c r="C17" s="8"/>
      <c r="D17" s="8"/>
      <c r="E17" s="8"/>
    </row>
  </sheetData>
  <mergeCells count="10">
    <mergeCell ref="B2:E2"/>
    <mergeCell ref="B3:E3"/>
    <mergeCell ref="C5:E5"/>
    <mergeCell ref="C6:E6"/>
    <mergeCell ref="C9:E9"/>
    <mergeCell ref="C10:E10"/>
    <mergeCell ref="C11:E11"/>
    <mergeCell ref="C12:E12"/>
    <mergeCell ref="B15:E15"/>
    <mergeCell ref="B17:E17"/>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2410C"/>
    <pageSetUpPr fitToPage="true"/>
  </sheetPr>
  <dimension ref="B2:C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8"/>
    <col collapsed="false" customWidth="true" hidden="false" outlineLevel="0" max="3" min="3" style="0" width="42"/>
    <col collapsed="false" customWidth="true" hidden="false" outlineLevel="0" max="4" min="4" style="0" width="3"/>
  </cols>
  <sheetData>
    <row r="2" customFormat="false" ht="17.35" hidden="false" customHeight="false" outlineLevel="0" collapsed="false">
      <c r="B2" s="9" t="s">
        <v>18</v>
      </c>
      <c r="C2" s="9"/>
    </row>
    <row r="4" customFormat="false" ht="19.5" hidden="false" customHeight="true" outlineLevel="0" collapsed="false">
      <c r="B4" s="10" t="s">
        <v>19</v>
      </c>
      <c r="C4" s="11"/>
    </row>
    <row r="5" customFormat="false" ht="15" hidden="false" customHeight="false" outlineLevel="0" collapsed="false">
      <c r="B5" s="12" t="s">
        <v>20</v>
      </c>
      <c r="C5" s="12" t="s">
        <v>21</v>
      </c>
    </row>
    <row r="6" customFormat="false" ht="45.75" hidden="false" customHeight="true" outlineLevel="0" collapsed="false">
      <c r="B6" s="3" t="s">
        <v>22</v>
      </c>
      <c r="C6" s="13" t="s">
        <v>23</v>
      </c>
    </row>
    <row r="7" customFormat="false" ht="45.75" hidden="false" customHeight="true" outlineLevel="0" collapsed="false">
      <c r="B7" s="3" t="s">
        <v>24</v>
      </c>
      <c r="C7" s="13" t="s">
        <v>25</v>
      </c>
    </row>
    <row r="8" customFormat="false" ht="45.75" hidden="false" customHeight="true" outlineLevel="0" collapsed="false">
      <c r="B8" s="3" t="s">
        <v>26</v>
      </c>
      <c r="C8" s="13" t="s">
        <v>27</v>
      </c>
    </row>
    <row r="9" customFormat="false" ht="45.75" hidden="false" customHeight="true" outlineLevel="0" collapsed="false">
      <c r="B9" s="3" t="s">
        <v>28</v>
      </c>
      <c r="C9" s="13" t="s">
        <v>29</v>
      </c>
    </row>
    <row r="10" customFormat="false" ht="45.75" hidden="false" customHeight="true" outlineLevel="0" collapsed="false">
      <c r="B10" s="3" t="s">
        <v>30</v>
      </c>
      <c r="C10" s="13" t="s">
        <v>31</v>
      </c>
    </row>
    <row r="11" customFormat="false" ht="45.75" hidden="false" customHeight="true" outlineLevel="0" collapsed="false">
      <c r="B11" s="3" t="s">
        <v>32</v>
      </c>
      <c r="C11" s="13" t="s">
        <v>33</v>
      </c>
    </row>
    <row r="12" customFormat="false" ht="45.75" hidden="false" customHeight="true" outlineLevel="0" collapsed="false">
      <c r="B12" s="3" t="s">
        <v>34</v>
      </c>
      <c r="C12" s="13" t="s">
        <v>35</v>
      </c>
    </row>
    <row r="13" customFormat="false" ht="45.75" hidden="false" customHeight="true" outlineLevel="0" collapsed="false">
      <c r="B13" s="3" t="s">
        <v>36</v>
      </c>
      <c r="C13" s="13" t="s">
        <v>37</v>
      </c>
    </row>
    <row r="14" customFormat="false" ht="45.75" hidden="false" customHeight="true" outlineLevel="0" collapsed="false">
      <c r="B14" s="3" t="s">
        <v>38</v>
      </c>
      <c r="C14" s="13" t="s">
        <v>39</v>
      </c>
    </row>
    <row r="15" customFormat="false" ht="45.75" hidden="false" customHeight="true" outlineLevel="0" collapsed="false">
      <c r="B15" s="3" t="s">
        <v>40</v>
      </c>
      <c r="C15" s="13" t="s">
        <v>41</v>
      </c>
    </row>
    <row r="17" customFormat="false" ht="19.5" hidden="false" customHeight="true" outlineLevel="0" collapsed="false">
      <c r="B17" s="10" t="s">
        <v>42</v>
      </c>
      <c r="C17" s="11"/>
    </row>
    <row r="18" customFormat="false" ht="43.5" hidden="false" customHeight="true" outlineLevel="0" collapsed="false">
      <c r="B18" s="3" t="s">
        <v>43</v>
      </c>
      <c r="C18" s="13" t="s">
        <v>44</v>
      </c>
    </row>
    <row r="19" customFormat="false" ht="43.5" hidden="false" customHeight="true" outlineLevel="0" collapsed="false">
      <c r="B19" s="3" t="s">
        <v>45</v>
      </c>
      <c r="C19" s="13" t="s">
        <v>46</v>
      </c>
    </row>
    <row r="20" customFormat="false" ht="43.5" hidden="false" customHeight="true" outlineLevel="0" collapsed="false">
      <c r="B20" s="3" t="s">
        <v>47</v>
      </c>
      <c r="C20" s="13" t="s">
        <v>48</v>
      </c>
    </row>
    <row r="21" customFormat="false" ht="43.5" hidden="false" customHeight="true" outlineLevel="0" collapsed="false">
      <c r="B21" s="3" t="s">
        <v>49</v>
      </c>
      <c r="C21" s="13" t="s">
        <v>50</v>
      </c>
    </row>
    <row r="22" customFormat="false" ht="43.5" hidden="false" customHeight="true" outlineLevel="0" collapsed="false">
      <c r="B22" s="3" t="s">
        <v>51</v>
      </c>
      <c r="C22" s="13" t="s">
        <v>52</v>
      </c>
    </row>
    <row r="23" customFormat="false" ht="43.5" hidden="false" customHeight="true" outlineLevel="0" collapsed="false">
      <c r="B23" s="3" t="s">
        <v>53</v>
      </c>
      <c r="C23" s="13" t="s">
        <v>54</v>
      </c>
    </row>
    <row r="25" customFormat="false" ht="28.35" hidden="false" customHeight="true" outlineLevel="0" collapsed="false">
      <c r="B25" s="8" t="s">
        <v>55</v>
      </c>
      <c r="C25" s="8"/>
    </row>
  </sheetData>
  <mergeCells count="2">
    <mergeCell ref="B2:C2"/>
    <mergeCell ref="B25:C2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532D"/>
    <pageSetUpPr fitToPage="true"/>
  </sheetPr>
  <dimension ref="B2:E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2"/>
    <col collapsed="false" customWidth="true" hidden="false" outlineLevel="0" max="5" min="3" style="0" width="16"/>
    <col collapsed="false" customWidth="true" hidden="false" outlineLevel="0" max="6" min="6" style="0" width="3"/>
  </cols>
  <sheetData>
    <row r="2" customFormat="false" ht="17.35" hidden="false" customHeight="false" outlineLevel="0" collapsed="false">
      <c r="B2" s="9" t="s">
        <v>56</v>
      </c>
      <c r="C2" s="9"/>
      <c r="D2" s="9"/>
      <c r="E2" s="9"/>
    </row>
    <row r="4" customFormat="false" ht="19.5" hidden="false" customHeight="true" outlineLevel="0" collapsed="false">
      <c r="B4" s="14" t="s">
        <v>57</v>
      </c>
      <c r="C4" s="15"/>
      <c r="D4" s="15"/>
      <c r="E4" s="15"/>
    </row>
    <row r="5" customFormat="false" ht="15" hidden="false" customHeight="false" outlineLevel="0" collapsed="false">
      <c r="B5" s="12" t="s">
        <v>58</v>
      </c>
      <c r="C5" s="12" t="s">
        <v>59</v>
      </c>
      <c r="D5" s="12" t="s">
        <v>60</v>
      </c>
    </row>
    <row r="6" customFormat="false" ht="15" hidden="false" customHeight="false" outlineLevel="0" collapsed="false">
      <c r="B6" s="16" t="s">
        <v>61</v>
      </c>
      <c r="C6" s="17" t="n">
        <v>37779</v>
      </c>
      <c r="D6" s="17" t="n">
        <v>15664</v>
      </c>
    </row>
    <row r="7" customFormat="false" ht="15" hidden="false" customHeight="false" outlineLevel="0" collapsed="false">
      <c r="B7" s="16" t="s">
        <v>62</v>
      </c>
      <c r="C7" s="18" t="s">
        <v>63</v>
      </c>
      <c r="D7" s="17" t="n">
        <v>17132</v>
      </c>
    </row>
    <row r="8" customFormat="false" ht="15" hidden="false" customHeight="false" outlineLevel="0" collapsed="false">
      <c r="B8" s="16" t="s">
        <v>64</v>
      </c>
      <c r="C8" s="17" t="n">
        <v>430</v>
      </c>
      <c r="D8" s="17" t="n">
        <v>102</v>
      </c>
    </row>
    <row r="9" customFormat="false" ht="15" hidden="false" customHeight="false" outlineLevel="0" collapsed="false">
      <c r="B9" s="16" t="s">
        <v>65</v>
      </c>
      <c r="C9" s="19" t="n">
        <f aca="false">C8/C6</f>
        <v>0.011381984700495</v>
      </c>
      <c r="D9" s="19" t="n">
        <f aca="false">D8/D6</f>
        <v>0.00651174668028601</v>
      </c>
    </row>
    <row r="10" customFormat="false" ht="15" hidden="false" customHeight="false" outlineLevel="0" collapsed="false">
      <c r="B10" s="16" t="s">
        <v>66</v>
      </c>
      <c r="C10" s="18" t="s">
        <v>63</v>
      </c>
      <c r="D10" s="17" t="n">
        <v>907</v>
      </c>
    </row>
    <row r="11" customFormat="false" ht="15" hidden="false" customHeight="false" outlineLevel="0" collapsed="false">
      <c r="B11" s="16" t="s">
        <v>67</v>
      </c>
      <c r="C11" s="18" t="s">
        <v>63</v>
      </c>
      <c r="D11" s="20" t="n">
        <v>0.053</v>
      </c>
    </row>
    <row r="12" customFormat="false" ht="15" hidden="false" customHeight="false" outlineLevel="0" collapsed="false">
      <c r="B12" s="16" t="s">
        <v>68</v>
      </c>
      <c r="C12" s="21" t="n">
        <v>2243</v>
      </c>
      <c r="D12" s="18" t="s">
        <v>63</v>
      </c>
    </row>
    <row r="13" customFormat="false" ht="15" hidden="false" customHeight="false" outlineLevel="0" collapsed="false">
      <c r="B13" s="16" t="s">
        <v>69</v>
      </c>
      <c r="C13" s="21" t="n">
        <v>2.5</v>
      </c>
      <c r="D13" s="18" t="s">
        <v>63</v>
      </c>
    </row>
    <row r="14" customFormat="false" ht="15" hidden="false" customHeight="false" outlineLevel="0" collapsed="false">
      <c r="B14" s="16" t="s">
        <v>70</v>
      </c>
      <c r="C14" s="18" t="s">
        <v>63</v>
      </c>
      <c r="D14" s="22" t="s">
        <v>71</v>
      </c>
    </row>
    <row r="16" customFormat="false" ht="15" hidden="false" customHeight="false" outlineLevel="0" collapsed="false">
      <c r="B16" s="23" t="s">
        <v>72</v>
      </c>
      <c r="D16" s="17" t="n">
        <v>606</v>
      </c>
    </row>
    <row r="18" customFormat="false" ht="19.5" hidden="false" customHeight="true" outlineLevel="0" collapsed="false">
      <c r="B18" s="10" t="s">
        <v>73</v>
      </c>
      <c r="C18" s="11"/>
      <c r="D18" s="11"/>
      <c r="E18" s="11"/>
    </row>
    <row r="19" customFormat="false" ht="15" hidden="false" customHeight="false" outlineLevel="0" collapsed="false">
      <c r="B19" s="12" t="s">
        <v>58</v>
      </c>
      <c r="C19" s="12" t="s">
        <v>74</v>
      </c>
      <c r="D19" s="12" t="s">
        <v>60</v>
      </c>
    </row>
    <row r="20" customFormat="false" ht="15" hidden="false" customHeight="false" outlineLevel="0" collapsed="false">
      <c r="B20" s="16" t="s">
        <v>75</v>
      </c>
      <c r="C20" s="17" t="n">
        <v>5656</v>
      </c>
      <c r="D20" s="17" t="n">
        <v>7907</v>
      </c>
    </row>
    <row r="21" customFormat="false" ht="15" hidden="false" customHeight="false" outlineLevel="0" collapsed="false">
      <c r="B21" s="16" t="s">
        <v>61</v>
      </c>
      <c r="C21" s="17" t="n">
        <v>806</v>
      </c>
      <c r="D21" s="17" t="n">
        <v>1232</v>
      </c>
    </row>
    <row r="22" customFormat="false" ht="15" hidden="false" customHeight="false" outlineLevel="0" collapsed="false">
      <c r="B22" s="16" t="s">
        <v>76</v>
      </c>
      <c r="C22" s="20" t="n">
        <v>-0.046</v>
      </c>
      <c r="D22" s="20" t="n">
        <v>-0.002</v>
      </c>
    </row>
    <row r="23" customFormat="false" ht="15" hidden="false" customHeight="false" outlineLevel="0" collapsed="false">
      <c r="B23" s="16" t="s">
        <v>64</v>
      </c>
      <c r="C23" s="18" t="s">
        <v>63</v>
      </c>
      <c r="D23" s="17" t="n">
        <v>-778</v>
      </c>
    </row>
    <row r="24" customFormat="false" ht="15" hidden="false" customHeight="false" outlineLevel="0" collapsed="false">
      <c r="B24" s="16" t="s">
        <v>68</v>
      </c>
      <c r="C24" s="18" t="s">
        <v>63</v>
      </c>
      <c r="D24" s="21" t="n">
        <v>1171</v>
      </c>
    </row>
    <row r="25" customFormat="false" ht="15" hidden="false" customHeight="false" outlineLevel="0" collapsed="false">
      <c r="B25" s="16" t="s">
        <v>77</v>
      </c>
      <c r="C25" s="18" t="s">
        <v>63</v>
      </c>
      <c r="D25" s="21" t="n">
        <v>27.5</v>
      </c>
    </row>
    <row r="27" customFormat="false" ht="15" hidden="false" customHeight="false" outlineLevel="0" collapsed="false">
      <c r="B27" s="23" t="s">
        <v>78</v>
      </c>
      <c r="D27" s="24" t="s">
        <v>79</v>
      </c>
    </row>
    <row r="28" customFormat="false" ht="15" hidden="false" customHeight="false" outlineLevel="0" collapsed="false">
      <c r="B28" s="23" t="s">
        <v>80</v>
      </c>
      <c r="D28" s="24" t="s">
        <v>81</v>
      </c>
    </row>
    <row r="30" customFormat="false" ht="19.5" hidden="false" customHeight="true" outlineLevel="0" collapsed="false">
      <c r="B30" s="25" t="s">
        <v>82</v>
      </c>
      <c r="C30" s="26"/>
      <c r="D30" s="26"/>
      <c r="E30" s="26"/>
    </row>
    <row r="31" customFormat="false" ht="15" hidden="false" customHeight="false" outlineLevel="0" collapsed="false">
      <c r="B31" s="12" t="s">
        <v>58</v>
      </c>
      <c r="C31" s="12" t="s">
        <v>83</v>
      </c>
      <c r="D31" s="12" t="s">
        <v>84</v>
      </c>
    </row>
    <row r="32" customFormat="false" ht="15" hidden="false" customHeight="false" outlineLevel="0" collapsed="false">
      <c r="B32" s="16" t="s">
        <v>85</v>
      </c>
      <c r="C32" s="17" t="n">
        <v>11109.9</v>
      </c>
      <c r="D32" s="17" t="n">
        <v>22623.58</v>
      </c>
    </row>
    <row r="33" customFormat="false" ht="15" hidden="false" customHeight="false" outlineLevel="0" collapsed="false">
      <c r="B33" s="16" t="s">
        <v>86</v>
      </c>
      <c r="C33" s="17" t="n">
        <v>9668.8</v>
      </c>
      <c r="D33" s="18" t="s">
        <v>63</v>
      </c>
    </row>
    <row r="34" customFormat="false" ht="15" hidden="false" customHeight="false" outlineLevel="0" collapsed="false">
      <c r="B34" s="16" t="s">
        <v>87</v>
      </c>
      <c r="C34" s="17" t="n">
        <v>4699.71</v>
      </c>
      <c r="D34" s="17" t="n">
        <v>5905.19</v>
      </c>
    </row>
    <row r="35" customFormat="false" ht="15" hidden="false" customHeight="false" outlineLevel="0" collapsed="false">
      <c r="B35" s="16" t="s">
        <v>88</v>
      </c>
      <c r="C35" s="17" t="n">
        <v>3367.3</v>
      </c>
      <c r="D35" s="18" t="s">
        <v>63</v>
      </c>
    </row>
    <row r="36" customFormat="false" ht="15" hidden="false" customHeight="false" outlineLevel="0" collapsed="false">
      <c r="B36" s="16" t="s">
        <v>89</v>
      </c>
      <c r="C36" s="17" t="n">
        <v>4521.7</v>
      </c>
      <c r="D36" s="17" t="n">
        <v>5041.5</v>
      </c>
    </row>
    <row r="37" customFormat="false" ht="15" hidden="false" customHeight="false" outlineLevel="0" collapsed="false">
      <c r="B37" s="16" t="s">
        <v>90</v>
      </c>
      <c r="C37" s="18" t="s">
        <v>63</v>
      </c>
      <c r="D37" s="20" t="n">
        <v>-0.2318</v>
      </c>
    </row>
    <row r="38" customFormat="false" ht="15" hidden="false" customHeight="false" outlineLevel="0" collapsed="false">
      <c r="B38" s="16" t="s">
        <v>91</v>
      </c>
      <c r="C38" s="18" t="s">
        <v>63</v>
      </c>
      <c r="D38" s="20" t="n">
        <v>-0.748</v>
      </c>
    </row>
    <row r="39" customFormat="false" ht="15" hidden="false" customHeight="false" outlineLevel="0" collapsed="false">
      <c r="B39" s="16" t="s">
        <v>92</v>
      </c>
      <c r="C39" s="27" t="n">
        <v>136.15</v>
      </c>
      <c r="D39" s="27" t="n">
        <v>78.75</v>
      </c>
    </row>
    <row r="40" customFormat="false" ht="15" hidden="false" customHeight="false" outlineLevel="0" collapsed="false">
      <c r="B40" s="16" t="s">
        <v>93</v>
      </c>
      <c r="C40" s="21" t="n">
        <v>1029</v>
      </c>
      <c r="D40" s="21" t="n">
        <v>1139</v>
      </c>
    </row>
    <row r="41" customFormat="false" ht="15" hidden="false" customHeight="false" outlineLevel="0" collapsed="false">
      <c r="B41" s="16" t="s">
        <v>94</v>
      </c>
      <c r="C41" s="18" t="s">
        <v>63</v>
      </c>
      <c r="D41" s="21" t="n">
        <v>1.75</v>
      </c>
    </row>
    <row r="42" customFormat="false" ht="15" hidden="false" customHeight="false" outlineLevel="0" collapsed="false">
      <c r="B42" s="16" t="s">
        <v>95</v>
      </c>
      <c r="C42" s="17" t="n">
        <v>651</v>
      </c>
      <c r="D42" s="17" t="n">
        <v>1636</v>
      </c>
    </row>
    <row r="43" customFormat="false" ht="15" hidden="false" customHeight="false" outlineLevel="0" collapsed="false">
      <c r="B43" s="16" t="s">
        <v>96</v>
      </c>
      <c r="C43" s="18" t="s">
        <v>63</v>
      </c>
      <c r="D43" s="17" t="n">
        <v>973</v>
      </c>
    </row>
    <row r="44" customFormat="false" ht="15" hidden="false" customHeight="false" outlineLevel="0" collapsed="false">
      <c r="B44" s="16" t="s">
        <v>97</v>
      </c>
      <c r="C44" s="18" t="s">
        <v>63</v>
      </c>
      <c r="D44" s="17" t="n">
        <v>-4329</v>
      </c>
    </row>
    <row r="46" customFormat="false" ht="15" hidden="false" customHeight="false" outlineLevel="0" collapsed="false">
      <c r="B46" s="23" t="s">
        <v>98</v>
      </c>
      <c r="D46" s="24" t="s">
        <v>99</v>
      </c>
    </row>
    <row r="47" customFormat="false" ht="15" hidden="false" customHeight="false" outlineLevel="0" collapsed="false">
      <c r="B47" s="23" t="s">
        <v>100</v>
      </c>
      <c r="D47" s="24" t="s">
        <v>101</v>
      </c>
    </row>
    <row r="49" customFormat="false" ht="46.25" hidden="false" customHeight="true" outlineLevel="0" collapsed="false">
      <c r="B49" s="8" t="s">
        <v>102</v>
      </c>
      <c r="C49" s="8"/>
      <c r="D49" s="8"/>
      <c r="E49" s="8"/>
    </row>
  </sheetData>
  <mergeCells count="2">
    <mergeCell ref="B2:E2"/>
    <mergeCell ref="B49:E49"/>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C1D95"/>
    <pageSetUpPr fitToPage="true"/>
  </sheetPr>
  <dimension ref="B2:F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5" min="3" style="0" width="16"/>
    <col collapsed="false" customWidth="true" hidden="false" outlineLevel="0" max="6" min="6" style="0" width="42"/>
    <col collapsed="false" customWidth="true" hidden="false" outlineLevel="0" max="7" min="7" style="0" width="3"/>
  </cols>
  <sheetData>
    <row r="2" customFormat="false" ht="17.35" hidden="false" customHeight="false" outlineLevel="0" collapsed="false">
      <c r="B2" s="9" t="s">
        <v>103</v>
      </c>
      <c r="C2" s="9"/>
      <c r="D2" s="9"/>
      <c r="E2" s="9"/>
      <c r="F2" s="9"/>
    </row>
    <row r="4" customFormat="false" ht="19.4" hidden="false" customHeight="true" outlineLevel="0" collapsed="false">
      <c r="B4" s="8" t="s">
        <v>104</v>
      </c>
      <c r="C4" s="8"/>
      <c r="D4" s="8"/>
      <c r="E4" s="8"/>
      <c r="F4" s="8"/>
    </row>
    <row r="6" customFormat="false" ht="15" hidden="false" customHeight="false" outlineLevel="0" collapsed="false">
      <c r="B6" s="12" t="s">
        <v>105</v>
      </c>
      <c r="C6" s="12" t="s">
        <v>106</v>
      </c>
      <c r="D6" s="12" t="s">
        <v>107</v>
      </c>
      <c r="E6" s="12" t="s">
        <v>108</v>
      </c>
      <c r="F6" s="12" t="s">
        <v>109</v>
      </c>
    </row>
    <row r="7" customFormat="false" ht="99.75" hidden="false" customHeight="true" outlineLevel="0" collapsed="false">
      <c r="B7" s="3" t="s">
        <v>110</v>
      </c>
      <c r="C7" s="16" t="s">
        <v>111</v>
      </c>
      <c r="D7" s="28" t="s">
        <v>112</v>
      </c>
      <c r="E7" s="29" t="s">
        <v>113</v>
      </c>
      <c r="F7" s="30" t="s">
        <v>114</v>
      </c>
    </row>
    <row r="8" customFormat="false" ht="99.75" hidden="false" customHeight="true" outlineLevel="0" collapsed="false">
      <c r="B8" s="3" t="s">
        <v>115</v>
      </c>
      <c r="C8" s="16" t="s">
        <v>116</v>
      </c>
      <c r="D8" s="28" t="s">
        <v>117</v>
      </c>
      <c r="E8" s="29" t="s">
        <v>118</v>
      </c>
      <c r="F8" s="30" t="s">
        <v>119</v>
      </c>
    </row>
    <row r="9" customFormat="false" ht="99.75" hidden="false" customHeight="true" outlineLevel="0" collapsed="false">
      <c r="B9" s="3" t="s">
        <v>120</v>
      </c>
      <c r="C9" s="16" t="s">
        <v>121</v>
      </c>
      <c r="D9" s="28" t="s">
        <v>122</v>
      </c>
      <c r="E9" s="29" t="s">
        <v>123</v>
      </c>
      <c r="F9" s="30" t="s">
        <v>124</v>
      </c>
    </row>
    <row r="11" customFormat="false" ht="19.5" hidden="false" customHeight="true" outlineLevel="0" collapsed="false">
      <c r="B11" s="31" t="s">
        <v>125</v>
      </c>
      <c r="C11" s="32"/>
      <c r="D11" s="32"/>
      <c r="E11" s="32"/>
      <c r="F11" s="32"/>
    </row>
    <row r="12" customFormat="false" ht="39.75" hidden="false" customHeight="true" outlineLevel="0" collapsed="false">
      <c r="B12" s="3" t="s">
        <v>126</v>
      </c>
      <c r="C12" s="7" t="s">
        <v>127</v>
      </c>
      <c r="D12" s="7"/>
      <c r="E12" s="7"/>
      <c r="F12" s="7"/>
    </row>
    <row r="13" customFormat="false" ht="39.75" hidden="false" customHeight="true" outlineLevel="0" collapsed="false">
      <c r="B13" s="3" t="s">
        <v>128</v>
      </c>
      <c r="C13" s="7" t="s">
        <v>129</v>
      </c>
      <c r="D13" s="7"/>
      <c r="E13" s="7"/>
      <c r="F13" s="7"/>
    </row>
    <row r="14" customFormat="false" ht="39.75" hidden="false" customHeight="true" outlineLevel="0" collapsed="false">
      <c r="B14" s="3" t="s">
        <v>130</v>
      </c>
      <c r="C14" s="7" t="s">
        <v>131</v>
      </c>
      <c r="D14" s="7"/>
      <c r="E14" s="7"/>
      <c r="F14" s="7"/>
    </row>
    <row r="15" customFormat="false" ht="39.75" hidden="false" customHeight="true" outlineLevel="0" collapsed="false">
      <c r="B15" s="3" t="s">
        <v>132</v>
      </c>
      <c r="C15" s="7" t="s">
        <v>133</v>
      </c>
      <c r="D15" s="7"/>
      <c r="E15" s="7"/>
      <c r="F15" s="7"/>
    </row>
    <row r="16" customFormat="false" ht="39.75" hidden="false" customHeight="true" outlineLevel="0" collapsed="false">
      <c r="B16" s="3" t="s">
        <v>134</v>
      </c>
      <c r="C16" s="7" t="s">
        <v>135</v>
      </c>
      <c r="D16" s="7"/>
      <c r="E16" s="7"/>
      <c r="F16" s="7"/>
    </row>
    <row r="18" customFormat="false" ht="28.35" hidden="false" customHeight="true" outlineLevel="0" collapsed="false">
      <c r="B18" s="8" t="s">
        <v>136</v>
      </c>
      <c r="C18" s="8"/>
      <c r="D18" s="8"/>
      <c r="E18" s="8"/>
      <c r="F18" s="8"/>
    </row>
  </sheetData>
  <mergeCells count="8">
    <mergeCell ref="B2:F2"/>
    <mergeCell ref="B4:F4"/>
    <mergeCell ref="C12:F12"/>
    <mergeCell ref="C13:F13"/>
    <mergeCell ref="C14:F14"/>
    <mergeCell ref="C15:F15"/>
    <mergeCell ref="C16:F16"/>
    <mergeCell ref="B18:F18"/>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91B1B"/>
    <pageSetUpPr fitToPage="true"/>
  </sheetPr>
  <dimension ref="B2:C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46"/>
    <col collapsed="false" customWidth="true" hidden="false" outlineLevel="0" max="4" min="4" style="0" width="3"/>
  </cols>
  <sheetData>
    <row r="2" customFormat="false" ht="17.35" hidden="false" customHeight="false" outlineLevel="0" collapsed="false">
      <c r="B2" s="9" t="s">
        <v>137</v>
      </c>
      <c r="C2" s="9"/>
    </row>
    <row r="4" customFormat="false" ht="15" hidden="false" customHeight="false" outlineLevel="0" collapsed="false">
      <c r="B4" s="12" t="s">
        <v>138</v>
      </c>
      <c r="C4" s="12" t="s">
        <v>139</v>
      </c>
    </row>
    <row r="5" customFormat="false" ht="99.75" hidden="false" customHeight="true" outlineLevel="0" collapsed="false">
      <c r="B5" s="33" t="s">
        <v>140</v>
      </c>
      <c r="C5" s="30" t="s">
        <v>141</v>
      </c>
    </row>
    <row r="6" customFormat="false" ht="99.75" hidden="false" customHeight="true" outlineLevel="0" collapsed="false">
      <c r="B6" s="33" t="s">
        <v>142</v>
      </c>
      <c r="C6" s="30" t="s">
        <v>143</v>
      </c>
    </row>
    <row r="7" customFormat="false" ht="99.75" hidden="false" customHeight="true" outlineLevel="0" collapsed="false">
      <c r="B7" s="33" t="s">
        <v>144</v>
      </c>
      <c r="C7" s="30" t="s">
        <v>145</v>
      </c>
    </row>
    <row r="8" customFormat="false" ht="99.75" hidden="false" customHeight="true" outlineLevel="0" collapsed="false">
      <c r="B8" s="33" t="s">
        <v>146</v>
      </c>
      <c r="C8" s="30" t="s">
        <v>147</v>
      </c>
    </row>
    <row r="9" customFormat="false" ht="99.75" hidden="false" customHeight="true" outlineLevel="0" collapsed="false">
      <c r="B9" s="33" t="s">
        <v>148</v>
      </c>
      <c r="C9" s="30" t="s">
        <v>149</v>
      </c>
    </row>
    <row r="10" customFormat="false" ht="99.75" hidden="false" customHeight="true" outlineLevel="0" collapsed="false">
      <c r="B10" s="33" t="s">
        <v>150</v>
      </c>
      <c r="C10" s="30" t="s">
        <v>151</v>
      </c>
    </row>
    <row r="12" customFormat="false" ht="37.3" hidden="false" customHeight="true" outlineLevel="0" collapsed="false">
      <c r="B12" s="8" t="s">
        <v>152</v>
      </c>
      <c r="C12" s="8"/>
    </row>
  </sheetData>
  <mergeCells count="2">
    <mergeCell ref="B2:C2"/>
    <mergeCell ref="B12:C1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2026-09-08T05:15:29Z</dcterms:created>
  <dc:creator>openpyxl</dc:creator>
  <dc:description/>
  <dc:language>en-US</dc:language>
  <cp:lastModifiedBy/>
  <dcterms:modified xsi:type="dcterms:W3CDTF">2026-09-08T05:15:29Z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