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creening Criteria" sheetId="2" state="visible" r:id="rId4"/>
    <sheet name="Company Data" sheetId="3" state="visible" r:id="rId5"/>
    <sheet name="Scoring &amp; Rank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Qualys FY2025A revenue $669.1mm (+10% YoY). Source: Qualys Q4/FY2025 earnings release, Feb 2026. Consistent with companion LBO model.</t>
        </r>
      </text>
    </comment>
    <comment ref="C6" authorId="0">
      <text>
        <r>
          <rPr>
            <sz val="10"/>
            <rFont val="Arial"/>
            <family val="2"/>
          </rPr>
          <t xml:space="preserve">FY2025A actual, +10% YoY.</t>
        </r>
      </text>
    </comment>
    <comment ref="C7" authorId="0">
      <text>
        <r>
          <rPr>
            <sz val="10"/>
            <rFont val="Arial"/>
            <family val="2"/>
          </rPr>
          <t xml:space="preserve">Qualys FY2025A Adjusted EBITDA, 47% margin. Source: Qualys FY2025 earnings release.</t>
        </r>
      </text>
    </comment>
    <comment ref="C9" authorId="0">
      <text>
        <r>
          <rPr>
            <sz val="10"/>
            <rFont val="Arial"/>
            <family val="2"/>
          </rPr>
          <t xml:space="preserve">= $76.14/sh × 36.3mm shares (Apr 2026 snapshot; matches companion LBO model).</t>
        </r>
      </text>
    </comment>
    <comment ref="C10" authorId="0">
      <text>
        <r>
          <rPr>
            <sz val="10"/>
            <rFont val="Arial"/>
            <family val="2"/>
          </rPr>
          <t xml:space="preserve">= $0 debt − $445.9mm cash (negative = net cash).</t>
        </r>
      </text>
    </comment>
    <comment ref="D5" authorId="0">
      <text>
        <r>
          <rPr>
            <sz val="10"/>
            <rFont val="Arial"/>
            <family val="2"/>
          </rPr>
          <t xml:space="preserve">Tenable FY2026 guidance midpoint (guide: $1,065-1,075mm). Source: Tenable Q4 2025 earnings release / FY26 outlook, SEC 8-K.</t>
        </r>
      </text>
    </comment>
    <comment ref="D6" authorId="0">
      <text>
        <r>
          <rPr>
            <sz val="10"/>
            <rFont val="Arial"/>
            <family val="2"/>
          </rPr>
          <t xml:space="preserve">~9% (recent quarterly run-rate 8.6%; FY26 guide range 7-8% off a higher FY25 base — using ~9% blended).</t>
        </r>
      </text>
    </comment>
    <comment ref="D7" authorId="0">
      <text>
        <r>
          <rPr>
            <sz val="10"/>
            <rFont val="Arial"/>
            <family val="2"/>
          </rPr>
          <t xml:space="preserve">Tenable FY26 guide non-GAAP operating income $245-255mm grossed up modestly for D&amp;A to approximate EBITDA. Source: Tenable FY26 outlook.</t>
        </r>
      </text>
    </comment>
    <comment ref="D9" authorId="0">
      <text>
        <r>
          <rPr>
            <sz val="10"/>
            <rFont val="Arial"/>
            <family val="2"/>
          </rPr>
          <t xml:space="preserve">Approx., Aug 2026 (market cap ranged $2.96-3.86bn across recent snapshots per StockAnalysis/MacroTrends).</t>
        </r>
      </text>
    </comment>
    <comment ref="D10" authorId="0">
      <text>
        <r>
          <rPr>
            <sz val="10"/>
            <rFont val="Arial"/>
            <family val="2"/>
          </rPr>
          <t xml:space="preserve">Approx. net cash position (EV runs below market cap per market data providers).</t>
        </r>
      </text>
    </comment>
    <comment ref="E5" authorId="0">
      <text>
        <r>
          <rPr>
            <sz val="10"/>
            <rFont val="Arial"/>
            <family val="2"/>
          </rPr>
          <t xml:space="preserve">ACI Worldwide FY2026 guidance midpoint (guide: $1,880-1,910mm, constant currency). Source: ACI Q4 2025 earnings call, Feb 2026.</t>
        </r>
      </text>
    </comment>
    <comment ref="E6" authorId="0">
      <text>
        <r>
          <rPr>
            <sz val="10"/>
            <rFont val="Arial"/>
            <family val="2"/>
          </rPr>
          <t xml:space="preserve">FY2026 guide, constant currency.</t>
        </r>
      </text>
    </comment>
    <comment ref="E7" authorId="0">
      <text>
        <r>
          <rPr>
            <sz val="10"/>
            <rFont val="Arial"/>
            <family val="2"/>
          </rPr>
          <t xml:space="preserve">ACI Worldwide FY2026 guidance midpoint (guide: $530-550mm Adjusted EBITDA). Source: ACI Q4 2025 earnings call.</t>
        </r>
      </text>
    </comment>
    <comment ref="E9" authorId="0">
      <text>
        <r>
          <rPr>
            <sz val="10"/>
            <rFont val="Arial"/>
            <family val="2"/>
          </rPr>
          <t xml:space="preserve">ACI Worldwide market cap, Aug 26 2026 (Robinhood/companiesmarketcap.com, ~$5.35-5.39bn).</t>
        </r>
      </text>
    </comment>
    <comment ref="E10" authorId="0">
      <text>
        <r>
          <rPr>
            <sz val="10"/>
            <rFont val="Arial"/>
            <family val="2"/>
          </rPr>
          <t xml:space="preserve">= $871.68mm debt − $118.95mm cash. Source: Macroaxis capital-structure snapshot, Apr 2026.</t>
        </r>
      </text>
    </comment>
    <comment ref="F5" authorId="0">
      <text>
        <r>
          <rPr>
            <sz val="10"/>
            <rFont val="Arial"/>
            <family val="2"/>
          </rPr>
          <t xml:space="preserve">Progress Software FY2026 guidance midpoint (guide: $988-1,000mm). Source: Progress Q1 FY26 supplemental deck, SEC 8-K.</t>
        </r>
      </text>
    </comment>
    <comment ref="F6" authorId="0">
      <text>
        <r>
          <rPr>
            <sz val="10"/>
            <rFont val="Arial"/>
            <family val="2"/>
          </rPr>
          <t xml:space="preserve">FY2026 guide (~4% reported; organic ARR growth is closer to 2%, flagged as a quality concern).</t>
        </r>
      </text>
    </comment>
    <comment ref="F7" authorId="0">
      <text>
        <r>
          <rPr>
            <sz val="10"/>
            <rFont val="Arial"/>
            <family val="2"/>
          </rPr>
          <t xml:space="preserve">Estimated from FY26 guided 41% non-GAAP operating margin on ~$994mm revenue, adjusted modestly toward EBITDA.</t>
        </r>
      </text>
    </comment>
    <comment ref="F9" authorId="0">
      <text>
        <r>
          <rPr>
            <sz val="10"/>
            <rFont val="Arial"/>
            <family val="2"/>
          </rPr>
          <t xml:space="preserve">Progress Software market cap, mid-Jul 2026 snapshot (PitchBook).</t>
        </r>
      </text>
    </comment>
    <comment ref="F10" authorId="0">
      <text>
        <r>
          <rPr>
            <sz val="10"/>
            <rFont val="Arial"/>
            <family val="2"/>
          </rPr>
          <t xml:space="preserve">= 2.9x net leverage × ~$425mm EBITDA (Simply Wall St, Q2 FY26 update).</t>
        </r>
      </text>
    </comment>
    <comment ref="G5" authorId="0">
      <text>
        <r>
          <rPr>
            <sz val="10"/>
            <rFont val="Arial"/>
            <family val="2"/>
          </rPr>
          <t xml:space="preserve">Rapid7 FY2026 guidance midpoint (guide: $836-842mm). Source: Rapid7 Q2 2026 earnings release, Aug 10, 2026.</t>
        </r>
      </text>
    </comment>
    <comment ref="G6" authorId="0">
      <text>
        <r>
          <rPr>
            <sz val="10"/>
            <rFont val="Arial"/>
            <family val="2"/>
          </rPr>
          <t xml:space="preserve">FY2026 guide (essentially flat — FY2025 growth was +1.87%).</t>
        </r>
      </text>
    </comment>
    <comment ref="G7" authorId="0">
      <text>
        <r>
          <rPr>
            <sz val="10"/>
            <rFont val="Arial"/>
            <family val="2"/>
          </rPr>
          <t xml:space="preserve">Rapid7 TTM EBITDA per GuruFocus, ~May 2026 snapshot — thin and volatile; treat as low-confidence.</t>
        </r>
      </text>
    </comment>
    <comment ref="G9" authorId="0">
      <text>
        <r>
          <rPr>
            <sz val="10"/>
            <rFont val="Arial"/>
            <family val="2"/>
          </rPr>
          <t xml:space="preserve">Estimated from Aug 20 2026 close of $11.85/share; RPD's share count and capital structure are in flux amid activist involvement — treat as directional only.</t>
        </r>
      </text>
    </comment>
    <comment ref="G10" authorId="0">
      <text>
        <r>
          <rPr>
            <sz val="10"/>
            <rFont val="Arial"/>
            <family val="2"/>
          </rPr>
          <t xml:space="preserve">Capital structure in flux (activist involvement, CEO transition) — not reliably estimable from available snapshots.</t>
        </r>
      </text>
    </comment>
    <comment ref="H5" authorId="0">
      <text>
        <r>
          <rPr>
            <sz val="10"/>
            <rFont val="Arial"/>
            <family val="2"/>
          </rPr>
          <t xml:space="preserve">Varonis FY2026 guidance midpoint (guide: $735-739mm). Source: Varonis Q2 2026 earnings call, Aug 2026.</t>
        </r>
      </text>
    </comment>
    <comment ref="H6" authorId="0">
      <text>
        <r>
          <rPr>
            <sz val="10"/>
            <rFont val="Arial"/>
            <family val="2"/>
          </rPr>
          <t xml:space="preserve">FY2026 guide midpoint, 17-18% range.</t>
        </r>
      </text>
    </comment>
    <comment ref="H7" authorId="0">
      <text>
        <r>
          <rPr>
            <sz val="10"/>
            <rFont val="Arial"/>
            <family val="2"/>
          </rPr>
          <t xml:space="preserve">Estimated — Varonis FY26 non-GAAP operating margin is low-single-digit; EBITDA shown here is a rough approximation given minimal disclosed EBITDA reporting.</t>
        </r>
      </text>
    </comment>
    <comment ref="H9" authorId="0">
      <text>
        <r>
          <rPr>
            <sz val="10"/>
            <rFont val="Arial"/>
            <family val="2"/>
          </rPr>
          <t xml:space="preserve">Approx., based on recent VRNS market cap prints in the $5.0-5.5bn range through mid-2026.</t>
        </r>
      </text>
    </comment>
    <comment ref="H10" authorId="0">
      <text>
        <r>
          <rPr>
            <sz val="10"/>
            <rFont val="Arial"/>
            <family val="2"/>
          </rPr>
          <t xml:space="preserve">= $0 disclosed debt − $911.5mm cash (Jun 30, 2026 10-Q).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Qualitative overlay: debt-free, consistent execution, well-covered cybersecurity leader; primary comp for companion LBO model.</t>
        </r>
      </text>
    </comment>
    <comment ref="G6" authorId="0">
      <text>
        <r>
          <rPr>
            <sz val="10"/>
            <rFont val="Arial"/>
            <family val="2"/>
          </rPr>
          <t xml:space="preserve">Qualitative overlay: steady execution, recent credit upgrade (S&amp;P: BB from BB-), share buyback capacity.</t>
        </r>
      </text>
    </comment>
    <comment ref="G7" authorId="0">
      <text>
        <r>
          <rPr>
            <sz val="10"/>
            <rFont val="Arial"/>
            <family val="2"/>
          </rPr>
          <t xml:space="preserve">Qualitative overlay: proven payments roll-up model with real-time payments tailwind; moderate complexity from serial M&amp;A.</t>
        </r>
      </text>
    </comment>
    <comment ref="G8" authorId="0">
      <text>
        <r>
          <rPr>
            <sz val="10"/>
            <rFont val="Arial"/>
            <family val="2"/>
          </rPr>
          <t xml:space="preserve">Qualitative overlay: serial acquirer (e.g. $400mm Domo data-platform deal, Jul 2026) — integration risk; weak organic (~2%) growth beneath the reported 4%.</t>
        </r>
      </text>
    </comment>
    <comment ref="G9" authorId="0">
      <text>
        <r>
          <rPr>
            <sz val="10"/>
            <rFont val="Arial"/>
            <family val="2"/>
          </rPr>
          <t xml:space="preserve">Qualitative overlay: CEO transition, active activist involvement (JANA Partners), highly volatile forward estimates (-77% to -84% shareholder returns over 3 years) — lowest-confidence name in the set.</t>
        </r>
      </text>
    </comment>
    <comment ref="G10" authorId="0">
      <text>
        <r>
          <rPr>
            <sz val="10"/>
            <rFont val="Arial"/>
            <family val="2"/>
          </rPr>
          <t xml:space="preserve">Qualitative overlay: strong secular data-security demand and SaaS transition progress, but still near-breakeven on profitability — not yet an LBO-ready margin profile.</t>
        </r>
      </text>
    </comment>
  </commentList>
</comments>
</file>

<file path=xl/sharedStrings.xml><?xml version="1.0" encoding="utf-8"?>
<sst xmlns="http://schemas.openxmlformats.org/spreadsheetml/2006/main" count="96" uniqueCount="84">
  <si>
    <t xml:space="preserve">PE Target Screening — Enterprise Software &amp; Cybersecurity</t>
  </si>
  <si>
    <t xml:space="preserve">A systematic screen for LBO-suitable, profitable mid-cap software businesses</t>
  </si>
  <si>
    <t xml:space="preserve">Universe:</t>
  </si>
  <si>
    <t xml:space="preserve">6 listed enterprise software / cybersecurity companies, $1-10bn market cap</t>
  </si>
  <si>
    <t xml:space="preserve">Screen date:</t>
  </si>
  <si>
    <t xml:space="preserve">Late August 2026 (see per-company source comments for exact snapshot dates)</t>
  </si>
  <si>
    <t xml:space="preserve">Objective:</t>
  </si>
  <si>
    <t xml:space="preserve">Identify names that combine LBO-friendly fundamentals (margin, growth quality, leverage headroom) with an entry price that isn't already pricing in the story</t>
  </si>
  <si>
    <t xml:space="preserve">Why This Screen</t>
  </si>
  <si>
    <t xml:space="preserve">A cheap EV/EBITDA multiple alone is not a buy signal — it's often a warning label. This screen scores companies on five dimensions a sponsor actually underwrites (growth quality, margin, leverage headroom, valuation, and business-quality/stability), rather than ranking on valuation alone. The output is the same discipline that would have surfaced Qualys (QLYS) as the strongest LBO candidate in this universe — see the companion LBO model and investment thesis for the full underwrite.</t>
  </si>
  <si>
    <t xml:space="preserve">Screen Output (from Scoring &amp; Ranking tab)</t>
  </si>
  <si>
    <t xml:space="preserve">Rank</t>
  </si>
  <si>
    <t xml:space="preserve">Company</t>
  </si>
  <si>
    <t xml:space="preserve">Composite Score</t>
  </si>
  <si>
    <t xml:space="preserve">EV/EBITDA</t>
  </si>
  <si>
    <t xml:space="preserve">Verdict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</si>
  <si>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</si>
  <si>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</si>
  <si>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</si>
  <si>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</si>
  <si>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</si>
  <si>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</si>
  <si>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This is an independent, illustrative screen built for portfolio/interview demonstration purposes, using public market data as of the dates noted in each company's source comment. It is not investment advice and is not exhaustive of the LBO-suitable software universe.</t>
  </si>
  <si>
    <t xml:space="preserve">Screening Criteria &amp; Methodology</t>
  </si>
  <si>
    <t xml:space="preserve">A. Hard Gates (pass/fail — fails are flagged, not deleted)</t>
  </si>
  <si>
    <t xml:space="preserve">Criterion</t>
  </si>
  <si>
    <t xml:space="preserve">Threshold</t>
  </si>
  <si>
    <t xml:space="preserve">Rationale</t>
  </si>
  <si>
    <t xml:space="preserve">Minimum revenue scale</t>
  </si>
  <si>
    <t xml:space="preserve">Too small for institutional LBO financing / thin lender universe below this.</t>
  </si>
  <si>
    <t xml:space="preserve">Maximum revenue scale</t>
  </si>
  <si>
    <t xml:space="preserve">Needs a club/consortium deal above this — outside single-sponsor sweet spot.</t>
  </si>
  <si>
    <t xml:space="preserve">Minimum EBITDA margin</t>
  </si>
  <si>
    <t xml:space="preserve">FCF too thin to service meaningful LBO leverage below this.</t>
  </si>
  <si>
    <t xml:space="preserve">Maximum current net leverage</t>
  </si>
  <si>
    <t xml:space="preserve">Little headroom to add debt — balance sheet already used.</t>
  </si>
  <si>
    <t xml:space="preserve">Maximum EV/EBITDA (not already priced for perfection)</t>
  </si>
  <si>
    <t xml:space="preserve">Growth-equity multiple, not a buyout multiple — re-rating already happened.</t>
  </si>
  <si>
    <t xml:space="preserve">B. Composite Score Weights (0-100 scale per factor, weighted average)</t>
  </si>
  <si>
    <t xml:space="preserve">Factor</t>
  </si>
  <si>
    <t xml:space="preserve">Weight</t>
  </si>
  <si>
    <t xml:space="preserve">What it rewards</t>
  </si>
  <si>
    <t xml:space="preserve">EBITDA margin</t>
  </si>
  <si>
    <t xml:space="preserve">Best predictor of how much leverage a business can service.</t>
  </si>
  <si>
    <t xml:space="preserve">Revenue growth quality</t>
  </si>
  <si>
    <t xml:space="preserve">Sweet spot 5-15%: enough to grow into leverage, not so hot it demands a growth multiple.</t>
  </si>
  <si>
    <t xml:space="preserve">Leverage headroom</t>
  </si>
  <si>
    <t xml:space="preserve">Lower current leverage = more room to add debt at entry.</t>
  </si>
  <si>
    <t xml:space="preserve">Valuation (EV/EBITDA)</t>
  </si>
  <si>
    <t xml:space="preserve">Cheaper entry multiple, scored relative to the peer set.</t>
  </si>
  <si>
    <t xml:space="preserve">Business quality / stability</t>
  </si>
  <si>
    <t xml:space="preserve">Qualitative: management continuity, activist noise, margin trajectory.</t>
  </si>
  <si>
    <t xml:space="preserve">Total</t>
  </si>
  <si>
    <t xml:space="preserve">Gates flag rather than delete: a name failing a gate (e.g. RPD's thin margin/quality) stays in the universe with a visible red flag on the Scoring tab, because seeing WHY a statistically cheap name fails the screen is itself the useful output for a sourcing analyst.</t>
  </si>
  <si>
    <t xml:space="preserve">Screening Universe — Raw Financial &amp; Market Data</t>
  </si>
  <si>
    <t xml:space="preserve">($mm unless noted)</t>
  </si>
  <si>
    <t xml:space="preserve">Qualys (QLYS)</t>
  </si>
  <si>
    <t xml:space="preserve">Tenable (TENB)</t>
  </si>
  <si>
    <t xml:space="preserve">ACI Worldwide (ACIW)</t>
  </si>
  <si>
    <t xml:space="preserve">Progress Software (PRGS)</t>
  </si>
  <si>
    <t xml:space="preserve">Rapid7 (RPD)</t>
  </si>
  <si>
    <t xml:space="preserve">Varonis (VRNS)</t>
  </si>
  <si>
    <t xml:space="preserve">Revenue (FY26E/TTM)</t>
  </si>
  <si>
    <t xml:space="preserve">Revenue growth, % YoY</t>
  </si>
  <si>
    <t xml:space="preserve">EBITDA (FY26E/TTM)</t>
  </si>
  <si>
    <t xml:space="preserve">EBITDA Margin</t>
  </si>
  <si>
    <t xml:space="preserve">Market Capitalization</t>
  </si>
  <si>
    <t xml:space="preserve">Net Debt / (Net Cash)</t>
  </si>
  <si>
    <t xml:space="preserve">NA</t>
  </si>
  <si>
    <t xml:space="preserve">Enterprise Value</t>
  </si>
  <si>
    <t xml:space="preserve">EV / EBITDA</t>
  </si>
  <si>
    <t xml:space="preserve">N/M</t>
  </si>
  <si>
    <t xml:space="preserve">Net Leverage (Net Debt/EBITDA)</t>
  </si>
  <si>
    <t xml:space="preserve">N/A</t>
  </si>
  <si>
    <t xml:space="preserve">Rapid7 (RPD) is included deliberately as a stress-test case: statistically cheap on TTM EV/EBITDA in isolation, but capital structure and forward earnings are unusually hard to pin down amid activist involvement and a CEO transition in 2026 — exactly the kind of name a naive “cheapest multiple” screen would over-rate. All figures approximate, sourced from public market data providers (StockAnalysis, MacroTrends, GuruFocus, SimplyWall.st, company earnings releases/8-Ks) as of the dates noted in cell comments; treat as directional for a screening exercise, not deal-ready diligence.</t>
  </si>
  <si>
    <t xml:space="preserve">Scoring &amp; Ranking Engine</t>
  </si>
  <si>
    <t xml:space="preserve">Margin
Score</t>
  </si>
  <si>
    <t xml:space="preserve">Growth
Score</t>
  </si>
  <si>
    <t xml:space="preserve">Leverage
Score</t>
  </si>
  <si>
    <t xml:space="preserve">Valuation
Score</t>
  </si>
  <si>
    <t xml:space="preserve">Quality
Score
(input)</t>
  </si>
  <si>
    <t xml:space="preserve">Composite
Score</t>
  </si>
  <si>
    <t xml:space="preserve">Gate
Check</t>
  </si>
  <si>
    <t xml:space="preserve">EV/EBITDA
(ref.)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</si>
</sst>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&quot;pts&quot;"/>
    <numFmt numFmtId="166" formatCode="0.0\x"/>
    <numFmt numFmtId="167" formatCode="\$#,##0;&quot;($&quot;#,##0\);\-"/>
    <numFmt numFmtId="168" formatCode="0.0%"/>
    <numFmt numFmtId="169" formatCode="0&quot;pts&quot;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0F2942"/>
      <name val="Arial"/>
      <family val="0"/>
      <charset val="1"/>
    </font>
    <font>
      <i val="true"/>
      <sz val="11"/>
      <color rgb="FF4B556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.5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6E5C"/>
        <bgColor rgb="FF14876F"/>
      </patternFill>
    </fill>
    <fill>
      <patternFill patternType="solid">
        <fgColor rgb="FF374151"/>
        <bgColor rgb="FF4B556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76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F6E5C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F2942"/>
      <rgbColor rgb="FF1AA37F"/>
      <rgbColor rgb="FF003300"/>
      <rgbColor rgb="FF333300"/>
      <rgbColor rgb="FF993300"/>
      <rgbColor rgb="FF993366"/>
      <rgbColor rgb="FF4B556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2942"/>
    <pageSetUpPr fitToPage="true"/>
  </sheetPr>
  <dimension ref="B2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20.9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9" customFormat="false" ht="19.5" hidden="false" customHeight="true" outlineLevel="0" collapsed="false">
      <c r="B9" s="5" t="s">
        <v>8</v>
      </c>
      <c r="C9" s="6"/>
      <c r="D9" s="6"/>
      <c r="E9" s="6"/>
      <c r="F9" s="6"/>
      <c r="G9" s="6"/>
    </row>
    <row r="10" customFormat="false" ht="48" hidden="false" customHeight="true" outlineLevel="0" collapsed="false">
      <c r="B10" s="7" t="s">
        <v>9</v>
      </c>
      <c r="C10" s="7"/>
      <c r="D10" s="7"/>
      <c r="E10" s="7"/>
      <c r="F10" s="7"/>
      <c r="G10" s="7"/>
    </row>
    <row r="12" customFormat="false" ht="19.5" hidden="false" customHeight="true" outlineLevel="0" collapsed="false">
      <c r="B12" s="5" t="s">
        <v>10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B13" s="8" t="s">
        <v>11</v>
      </c>
      <c r="C13" s="8" t="s">
        <v>12</v>
      </c>
      <c r="D13" s="8" t="s">
        <v>13</v>
      </c>
      <c r="E13" s="8" t="s">
        <v>14</v>
      </c>
      <c r="F13" s="8" t="s">
        <v>15</v>
      </c>
    </row>
    <row r="14" customFormat="false" ht="15" hidden="false" customHeight="false" outlineLevel="0" collapsed="false">
      <c r="B14" s="9" t="s">
        <v>16</v>
      </c>
      <c r="C14" s="10" t="str">
        <f aca="false">INDEX('Scoring &amp; Ranking'!$B$5:$B$10,MATCH(1,'Scoring &amp; Ranking'!$J$5:$J$10,0))</f>
        <v>Qualys (QLYS)</v>
      </c>
      <c r="D14" s="11" t="n">
        <f aca="false">INDEX('Scoring &amp; Ranking'!$H$5:$H$10,MATCH(1,'Scoring &amp; Ranking'!$J$5:$J$10,0))</f>
        <v>82.4045340839694</v>
      </c>
      <c r="E14" s="12" t="n">
        <f aca="false">INDEX('Scoring &amp; Ranking'!$L$5:$L$10,MATCH(1,'Scoring &amp; Ranking'!$J$5:$J$10,0))</f>
        <v>7.39629865985961</v>
      </c>
      <c r="F14" s="10" t="str">
        <f aca="false">INDEX('Scoring &amp; Ranking'!$K$5:$K$10,MATCH(1,'Scoring &amp; Ranking'!$J$5:$J$10,0))</f>
        <v>Top candidate</v>
      </c>
    </row>
    <row r="15" customFormat="false" ht="15" hidden="false" customHeight="false" outlineLevel="0" collapsed="false">
      <c r="B15" s="9" t="s">
        <v>17</v>
      </c>
      <c r="C15" s="10" t="str">
        <f aca="false">INDEX('Scoring &amp; Ranking'!$B$5:$B$10,MATCH(2,'Scoring &amp; Ranking'!$J$5:$J$10,0))</f>
        <v>Tenable (TENB)</v>
      </c>
      <c r="D15" s="11" t="n">
        <f aca="false">INDEX('Scoring &amp; Ranking'!$H$5:$H$10,MATCH(2,'Scoring &amp; Ranking'!$J$5:$J$10,0))</f>
        <v>67.312955243282</v>
      </c>
      <c r="E15" s="12" t="n">
        <f aca="false">INDEX('Scoring &amp; Ranking'!$L$5:$L$10,MATCH(2,'Scoring &amp; Ranking'!$J$5:$J$10,0))</f>
        <v>10.0719424460432</v>
      </c>
      <c r="F15" s="10" t="str">
        <f aca="false">INDEX('Scoring &amp; Ranking'!$K$5:$K$10,MATCH(2,'Scoring &amp; Ranking'!$J$5:$J$10,0))</f>
        <v>Attractive</v>
      </c>
    </row>
    <row r="16" customFormat="false" ht="15" hidden="false" customHeight="false" outlineLevel="0" collapsed="false">
      <c r="B16" s="9" t="s">
        <v>18</v>
      </c>
      <c r="C16" s="10" t="str">
        <f aca="false">INDEX('Scoring &amp; Ranking'!$B$5:$B$10,MATCH(3,'Scoring &amp; Ranking'!$J$5:$J$10,0))</f>
        <v>ACI Worldwide (ACIW)</v>
      </c>
      <c r="D16" s="11" t="n">
        <f aca="false">INDEX('Scoring &amp; Ranking'!$H$5:$H$10,MATCH(3,'Scoring &amp; Ranking'!$J$5:$J$10,0))</f>
        <v>56.623827113959</v>
      </c>
      <c r="E16" s="12" t="n">
        <f aca="false">INDEX('Scoring &amp; Ranking'!$L$5:$L$10,MATCH(3,'Scoring &amp; Ranking'!$J$5:$J$10,0))</f>
        <v>11.3383333333333</v>
      </c>
      <c r="F16" s="10" t="str">
        <f aca="false">INDEX('Scoring &amp; Ranking'!$K$5:$K$10,MATCH(3,'Scoring &amp; Ranking'!$J$5:$J$10,0))</f>
        <v>Priced in / pass</v>
      </c>
    </row>
    <row r="17" customFormat="false" ht="15" hidden="false" customHeight="false" outlineLevel="0" collapsed="false">
      <c r="B17" s="9" t="s">
        <v>19</v>
      </c>
      <c r="C17" s="10" t="str">
        <f aca="false">INDEX('Scoring &amp; Ranking'!$B$5:$B$10,MATCH(4,'Scoring &amp; Ranking'!$J$5:$J$10,0))</f>
        <v>Progress Software (PRGS)</v>
      </c>
      <c r="D17" s="11" t="n">
        <f aca="false">INDEX('Scoring &amp; Ranking'!$H$5:$H$10,MATCH(4,'Scoring &amp; Ranking'!$J$5:$J$10,0))</f>
        <v>52.4192863060717</v>
      </c>
      <c r="E17" s="12" t="n">
        <f aca="false">INDEX('Scoring &amp; Ranking'!$L$5:$L$10,MATCH(4,'Scoring &amp; Ranking'!$J$5:$J$10,0))</f>
        <v>6.80588235294118</v>
      </c>
      <c r="F17" s="10" t="str">
        <f aca="false">INDEX('Scoring &amp; Ranking'!$K$5:$K$10,MATCH(4,'Scoring &amp; Ranking'!$J$5:$J$10,0))</f>
        <v>Priced in / pass</v>
      </c>
    </row>
    <row r="18" customFormat="false" ht="15" hidden="false" customHeight="false" outlineLevel="0" collapsed="false">
      <c r="B18" s="9" t="s">
        <v>20</v>
      </c>
      <c r="C18" s="10" t="str">
        <f aca="false">INDEX('Scoring &amp; Ranking'!$B$5:$B$10,MATCH(5,'Scoring &amp; Ranking'!$J$5:$J$10,0))</f>
        <v>Varonis (VRNS)</v>
      </c>
      <c r="D18" s="11" t="n">
        <f aca="false">INDEX('Scoring &amp; Ranking'!$H$5:$H$10,MATCH(5,'Scoring &amp; Ranking'!$J$5:$J$10,0))</f>
        <v>43.0855947535052</v>
      </c>
      <c r="E18" s="12" t="n">
        <f aca="false">INDEX('Scoring &amp; Ranking'!$L$5:$L$10,MATCH(5,'Scoring &amp; Ranking'!$J$5:$J$10,0))</f>
        <v>72.6864406779661</v>
      </c>
      <c r="F18" s="10" t="str">
        <f aca="false">INDEX('Scoring &amp; Ranking'!$K$5:$K$10,MATCH(5,'Scoring &amp; Ranking'!$J$5:$J$10,0))</f>
        <v>Fails quality/margin gate</v>
      </c>
    </row>
    <row r="19" customFormat="false" ht="15" hidden="false" customHeight="false" outlineLevel="0" collapsed="false">
      <c r="B19" s="9" t="s">
        <v>21</v>
      </c>
      <c r="C19" s="10" t="str">
        <f aca="false">INDEX('Scoring &amp; Ranking'!$B$5:$B$10,MATCH(6,'Scoring &amp; Ranking'!$J$5:$J$10,0))</f>
        <v>Rapid7 (RPD)</v>
      </c>
      <c r="D19" s="11" t="n">
        <f aca="false">INDEX('Scoring &amp; Ranking'!$H$5:$H$10,MATCH(6,'Scoring &amp; Ranking'!$J$5:$J$10,0))</f>
        <v>28.634121308436</v>
      </c>
      <c r="E19" s="12" t="str">
        <f aca="false">INDEX('Scoring &amp; Ranking'!$L$5:$L$10,MATCH(6,'Scoring &amp; Ranking'!$J$5:$J$10,0))</f>
        <v>N/M</v>
      </c>
      <c r="F19" s="10" t="str">
        <f aca="false">INDEX('Scoring &amp; Ranking'!$K$5:$K$10,MATCH(6,'Scoring &amp; Ranking'!$J$5:$J$10,0))</f>
        <v>Fails quality/margin gate</v>
      </c>
    </row>
    <row r="22" customFormat="false" ht="19.4" hidden="false" customHeight="true" outlineLevel="0" collapsed="false">
      <c r="B22" s="13" t="s">
        <v>22</v>
      </c>
      <c r="C22" s="13"/>
      <c r="D22" s="13"/>
      <c r="E22" s="13"/>
      <c r="F22" s="13"/>
      <c r="G22" s="13"/>
    </row>
  </sheetData>
  <mergeCells count="4">
    <mergeCell ref="B2:G2"/>
    <mergeCell ref="B3:G3"/>
    <mergeCell ref="B10:G10"/>
    <mergeCell ref="B22:G22"/>
  </mergeCells>
  <conditionalFormatting sqref="F14:F19">
    <cfRule type="cellIs" priority="2" operator="equal" aboveAverage="0" equalAverage="0" bottom="0" percent="0" rank="0" text="" dxfId="0">
      <formula>"Top candidate"</formula>
    </cfRule>
    <cfRule type="cellIs" priority="3" operator="equal" aboveAverage="0" equalAverage="0" bottom="0" percent="0" rank="0" text="" dxfId="0">
      <formula>"Attractive"</formula>
    </cfRule>
    <cfRule type="cellIs" priority="4" operator="equal" aboveAverage="0" equalAverage="0" bottom="0" percent="0" rank="0" text="" dxfId="1">
      <formula>"Priced in / pass"</formula>
    </cfRule>
    <cfRule type="cellIs" priority="5" operator="equal" aboveAverage="0" equalAverage="0" bottom="0" percent="0" rank="0" text="" dxfId="2">
      <formula>"Fails quality/margin 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C"/>
    <pageSetUpPr fitToPage="tru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3"/>
  </cols>
  <sheetData>
    <row r="2" customFormat="false" ht="17.35" hidden="false" customHeight="false" outlineLevel="0" collapsed="false">
      <c r="B2" s="14" t="s">
        <v>23</v>
      </c>
      <c r="C2" s="14"/>
      <c r="D2" s="14"/>
      <c r="E2" s="14"/>
    </row>
    <row r="4" customFormat="false" ht="19.5" hidden="false" customHeight="true" outlineLevel="0" collapsed="false">
      <c r="B4" s="5" t="s">
        <v>24</v>
      </c>
      <c r="C4" s="6"/>
      <c r="D4" s="6"/>
      <c r="E4" s="6"/>
    </row>
    <row r="5" customFormat="false" ht="15" hidden="false" customHeight="false" outlineLevel="0" collapsed="false">
      <c r="B5" s="8" t="s">
        <v>25</v>
      </c>
      <c r="C5" s="8" t="s">
        <v>26</v>
      </c>
      <c r="D5" s="8" t="s">
        <v>27</v>
      </c>
    </row>
    <row r="6" customFormat="false" ht="23.85" hidden="false" customHeight="false" outlineLevel="0" collapsed="false">
      <c r="B6" s="9" t="s">
        <v>28</v>
      </c>
      <c r="C6" s="15" t="n">
        <v>200</v>
      </c>
      <c r="D6" s="16" t="s">
        <v>29</v>
      </c>
    </row>
    <row r="7" customFormat="false" ht="23.85" hidden="false" customHeight="false" outlineLevel="0" collapsed="false">
      <c r="B7" s="9" t="s">
        <v>30</v>
      </c>
      <c r="C7" s="15" t="n">
        <v>3000</v>
      </c>
      <c r="D7" s="16" t="s">
        <v>31</v>
      </c>
    </row>
    <row r="8" customFormat="false" ht="15" hidden="false" customHeight="false" outlineLevel="0" collapsed="false">
      <c r="B8" s="9" t="s">
        <v>32</v>
      </c>
      <c r="C8" s="17" t="n">
        <v>0.15</v>
      </c>
      <c r="D8" s="16" t="s">
        <v>33</v>
      </c>
    </row>
    <row r="9" customFormat="false" ht="15" hidden="false" customHeight="false" outlineLevel="0" collapsed="false">
      <c r="B9" s="9" t="s">
        <v>34</v>
      </c>
      <c r="C9" s="18" t="n">
        <v>3.5</v>
      </c>
      <c r="D9" s="16" t="s">
        <v>35</v>
      </c>
    </row>
    <row r="10" customFormat="false" ht="23.85" hidden="false" customHeight="false" outlineLevel="0" collapsed="false">
      <c r="B10" s="9" t="s">
        <v>36</v>
      </c>
      <c r="C10" s="18" t="n">
        <v>15</v>
      </c>
      <c r="D10" s="16" t="s">
        <v>37</v>
      </c>
    </row>
    <row r="11" customFormat="false" ht="15" hidden="false" customHeight="true" outlineLevel="0" collapsed="false"/>
    <row r="12" customFormat="false" ht="19.5" hidden="false" customHeight="true" outlineLevel="0" collapsed="false">
      <c r="B12" s="5" t="s">
        <v>38</v>
      </c>
      <c r="C12" s="6"/>
      <c r="D12" s="6"/>
      <c r="E12" s="6"/>
    </row>
    <row r="13" customFormat="false" ht="15" hidden="false" customHeight="false" outlineLevel="0" collapsed="false">
      <c r="B13" s="8" t="s">
        <v>39</v>
      </c>
      <c r="C13" s="8" t="s">
        <v>40</v>
      </c>
      <c r="D13" s="8" t="s">
        <v>41</v>
      </c>
    </row>
    <row r="14" customFormat="false" ht="15" hidden="false" customHeight="false" outlineLevel="0" collapsed="false">
      <c r="B14" s="9" t="s">
        <v>42</v>
      </c>
      <c r="C14" s="17" t="n">
        <v>0.25</v>
      </c>
      <c r="D14" s="16" t="s">
        <v>43</v>
      </c>
    </row>
    <row r="15" customFormat="false" ht="23.85" hidden="false" customHeight="false" outlineLevel="0" collapsed="false">
      <c r="B15" s="9" t="s">
        <v>44</v>
      </c>
      <c r="C15" s="17" t="n">
        <v>0.2</v>
      </c>
      <c r="D15" s="16" t="s">
        <v>45</v>
      </c>
    </row>
    <row r="16" customFormat="false" ht="15" hidden="false" customHeight="false" outlineLevel="0" collapsed="false">
      <c r="B16" s="9" t="s">
        <v>46</v>
      </c>
      <c r="C16" s="17" t="n">
        <v>0.2</v>
      </c>
      <c r="D16" s="16" t="s">
        <v>47</v>
      </c>
    </row>
    <row r="17" customFormat="false" ht="15" hidden="false" customHeight="false" outlineLevel="0" collapsed="false">
      <c r="B17" s="9" t="s">
        <v>48</v>
      </c>
      <c r="C17" s="17" t="n">
        <v>0.2</v>
      </c>
      <c r="D17" s="16" t="s">
        <v>49</v>
      </c>
    </row>
    <row r="18" customFormat="false" ht="23.85" hidden="false" customHeight="false" outlineLevel="0" collapsed="false">
      <c r="B18" s="9" t="s">
        <v>50</v>
      </c>
      <c r="C18" s="17" t="n">
        <v>0.15</v>
      </c>
      <c r="D18" s="16" t="s">
        <v>51</v>
      </c>
    </row>
    <row r="19" customFormat="false" ht="15" hidden="false" customHeight="false" outlineLevel="0" collapsed="false">
      <c r="B19" s="3" t="s">
        <v>52</v>
      </c>
      <c r="C19" s="19" t="n">
        <f aca="false">SUM(C14:C18)</f>
        <v>1</v>
      </c>
    </row>
    <row r="21" customFormat="false" ht="19.4" hidden="false" customHeight="true" outlineLevel="0" collapsed="false">
      <c r="B21" s="13" t="s">
        <v>53</v>
      </c>
      <c r="C21" s="13"/>
      <c r="D21" s="13"/>
      <c r="E21" s="13"/>
    </row>
  </sheetData>
  <mergeCells count="2">
    <mergeCell ref="B2:E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876F"/>
    <pageSetUpPr fitToPage="tru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3"/>
    <col collapsed="false" customWidth="true" hidden="false" outlineLevel="0" max="9" min="9" style="0" width="3"/>
  </cols>
  <sheetData>
    <row r="2" customFormat="false" ht="17.35" hidden="false" customHeight="false" outlineLevel="0" collapsed="false">
      <c r="B2" s="14" t="s">
        <v>54</v>
      </c>
      <c r="C2" s="14"/>
      <c r="D2" s="14"/>
      <c r="E2" s="14"/>
      <c r="F2" s="14"/>
      <c r="G2" s="14"/>
      <c r="H2" s="14"/>
    </row>
    <row r="4" customFormat="false" ht="33.75" hidden="false" customHeight="true" outlineLevel="0" collapsed="false">
      <c r="B4" s="3" t="s">
        <v>55</v>
      </c>
      <c r="C4" s="20" t="s">
        <v>56</v>
      </c>
      <c r="D4" s="20" t="s">
        <v>57</v>
      </c>
      <c r="E4" s="20" t="s">
        <v>58</v>
      </c>
      <c r="F4" s="20" t="s">
        <v>59</v>
      </c>
      <c r="G4" s="20" t="s">
        <v>60</v>
      </c>
      <c r="H4" s="20" t="s">
        <v>61</v>
      </c>
    </row>
    <row r="5" customFormat="false" ht="15" hidden="false" customHeight="false" outlineLevel="0" collapsed="false">
      <c r="B5" s="9" t="s">
        <v>62</v>
      </c>
      <c r="C5" s="21" t="n">
        <v>669.1</v>
      </c>
      <c r="D5" s="21" t="n">
        <v>1070</v>
      </c>
      <c r="E5" s="21" t="n">
        <v>1895</v>
      </c>
      <c r="F5" s="21" t="n">
        <v>994</v>
      </c>
      <c r="G5" s="21" t="n">
        <v>839</v>
      </c>
      <c r="H5" s="21" t="n">
        <v>737</v>
      </c>
    </row>
    <row r="6" customFormat="false" ht="15" hidden="false" customHeight="false" outlineLevel="0" collapsed="false">
      <c r="B6" s="9" t="s">
        <v>63</v>
      </c>
      <c r="C6" s="22" t="n">
        <v>0.1</v>
      </c>
      <c r="D6" s="22" t="n">
        <v>0.09</v>
      </c>
      <c r="E6" s="22" t="n">
        <v>0.08</v>
      </c>
      <c r="F6" s="22" t="n">
        <v>0.04</v>
      </c>
      <c r="G6" s="22" t="n">
        <v>0.02</v>
      </c>
      <c r="H6" s="22" t="n">
        <v>0.175</v>
      </c>
    </row>
    <row r="7" customFormat="false" ht="15" hidden="false" customHeight="false" outlineLevel="0" collapsed="false">
      <c r="B7" s="9" t="s">
        <v>64</v>
      </c>
      <c r="C7" s="21" t="n">
        <v>313.4</v>
      </c>
      <c r="D7" s="21" t="n">
        <v>278</v>
      </c>
      <c r="E7" s="21" t="n">
        <v>540</v>
      </c>
      <c r="F7" s="21" t="n">
        <v>425</v>
      </c>
      <c r="G7" s="21" t="n">
        <v>82.5</v>
      </c>
      <c r="H7" s="21" t="n">
        <v>59</v>
      </c>
    </row>
    <row r="8" customFormat="false" ht="15" hidden="false" customHeight="false" outlineLevel="0" collapsed="false">
      <c r="B8" s="9" t="s">
        <v>65</v>
      </c>
      <c r="C8" s="23" t="n">
        <f aca="false">C7/C5</f>
        <v>0.468390375130773</v>
      </c>
      <c r="D8" s="23" t="n">
        <f aca="false">D7/D5</f>
        <v>0.25981308411215</v>
      </c>
      <c r="E8" s="23" t="n">
        <f aca="false">E7/E5</f>
        <v>0.284960422163588</v>
      </c>
      <c r="F8" s="23" t="n">
        <f aca="false">F7/F5</f>
        <v>0.427565392354125</v>
      </c>
      <c r="G8" s="23" t="n">
        <f aca="false">G7/G5</f>
        <v>0.098331346841478</v>
      </c>
      <c r="H8" s="23" t="n">
        <f aca="false">H7/H5</f>
        <v>0.0800542740841248</v>
      </c>
    </row>
    <row r="9" customFormat="false" ht="15" hidden="false" customHeight="false" outlineLevel="0" collapsed="false">
      <c r="B9" s="9" t="s">
        <v>66</v>
      </c>
      <c r="C9" s="21" t="n">
        <v>2763.9</v>
      </c>
      <c r="D9" s="21" t="n">
        <v>3400</v>
      </c>
      <c r="E9" s="21" t="n">
        <v>5370</v>
      </c>
      <c r="F9" s="21" t="n">
        <v>1660</v>
      </c>
      <c r="G9" s="21" t="n">
        <v>770</v>
      </c>
      <c r="H9" s="21" t="n">
        <v>5200</v>
      </c>
    </row>
    <row r="10" customFormat="false" ht="15" hidden="false" customHeight="false" outlineLevel="0" collapsed="false">
      <c r="B10" s="9" t="s">
        <v>67</v>
      </c>
      <c r="C10" s="21" t="n">
        <v>-445.9</v>
      </c>
      <c r="D10" s="21" t="n">
        <v>-600</v>
      </c>
      <c r="E10" s="21" t="n">
        <v>752.7</v>
      </c>
      <c r="F10" s="21" t="n">
        <v>1232.5</v>
      </c>
      <c r="G10" s="24" t="s">
        <v>68</v>
      </c>
      <c r="H10" s="21" t="n">
        <v>-911.5</v>
      </c>
    </row>
    <row r="11" customFormat="false" ht="15" hidden="false" customHeight="false" outlineLevel="0" collapsed="false">
      <c r="B11" s="9" t="s">
        <v>69</v>
      </c>
      <c r="C11" s="25" t="n">
        <f aca="false">C9+C10</f>
        <v>2318</v>
      </c>
      <c r="D11" s="25" t="n">
        <f aca="false">D9+D10</f>
        <v>2800</v>
      </c>
      <c r="E11" s="25" t="n">
        <f aca="false">E9+E10</f>
        <v>6122.7</v>
      </c>
      <c r="F11" s="25" t="n">
        <f aca="false">F9+F10</f>
        <v>2892.5</v>
      </c>
      <c r="G11" s="26" t="s">
        <v>68</v>
      </c>
      <c r="H11" s="25" t="n">
        <f aca="false">H9+H10</f>
        <v>4288.5</v>
      </c>
    </row>
    <row r="12" customFormat="false" ht="15" hidden="false" customHeight="false" outlineLevel="0" collapsed="false">
      <c r="B12" s="3" t="s">
        <v>70</v>
      </c>
      <c r="C12" s="27" t="n">
        <f aca="false">C11/C7</f>
        <v>7.39629865985961</v>
      </c>
      <c r="D12" s="27" t="n">
        <f aca="false">D11/D7</f>
        <v>10.0719424460432</v>
      </c>
      <c r="E12" s="27" t="n">
        <f aca="false">E11/E7</f>
        <v>11.3383333333333</v>
      </c>
      <c r="F12" s="27" t="n">
        <f aca="false">F11/F7</f>
        <v>6.80588235294118</v>
      </c>
      <c r="G12" s="28" t="s">
        <v>71</v>
      </c>
      <c r="H12" s="27" t="n">
        <f aca="false">H11/H7</f>
        <v>72.6864406779661</v>
      </c>
    </row>
    <row r="13" customFormat="false" ht="15" hidden="false" customHeight="false" outlineLevel="0" collapsed="false">
      <c r="B13" s="9" t="s">
        <v>72</v>
      </c>
      <c r="C13" s="29" t="n">
        <f aca="false">C10/C7</f>
        <v>-1.42278238672623</v>
      </c>
      <c r="D13" s="29" t="n">
        <f aca="false">D10/D7</f>
        <v>-2.15827338129496</v>
      </c>
      <c r="E13" s="29" t="n">
        <f aca="false">E10/E7</f>
        <v>1.39388888888889</v>
      </c>
      <c r="F13" s="29" t="n">
        <f aca="false">F10/F7</f>
        <v>2.9</v>
      </c>
      <c r="G13" s="30" t="s">
        <v>73</v>
      </c>
      <c r="H13" s="29" t="n">
        <f aca="false">H10/H7</f>
        <v>-15.4491525423729</v>
      </c>
    </row>
    <row r="15" customFormat="false" ht="46.25" hidden="false" customHeight="true" outlineLevel="0" collapsed="false">
      <c r="B15" s="13" t="s">
        <v>74</v>
      </c>
      <c r="C15" s="13"/>
      <c r="D15" s="13"/>
      <c r="E15" s="13"/>
      <c r="F15" s="13"/>
      <c r="G15" s="13"/>
    </row>
  </sheetData>
  <mergeCells count="2">
    <mergeCell ref="B2:H2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A37F"/>
    <pageSetUpPr fitToPage="true"/>
  </sheetPr>
  <dimension ref="B2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8" min="3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22"/>
    <col collapsed="false" customWidth="true" hidden="false" outlineLevel="0" max="12" min="12" style="0" width="3"/>
  </cols>
  <sheetData>
    <row r="2" customFormat="false" ht="17.35" hidden="false" customHeight="false" outlineLevel="0" collapsed="false">
      <c r="B2" s="14" t="s">
        <v>75</v>
      </c>
      <c r="C2" s="14"/>
      <c r="D2" s="14"/>
      <c r="E2" s="14"/>
      <c r="F2" s="14"/>
      <c r="G2" s="14"/>
      <c r="H2" s="14"/>
      <c r="I2" s="14"/>
      <c r="J2" s="14"/>
      <c r="K2" s="14"/>
    </row>
    <row r="4" customFormat="false" ht="31.5" hidden="false" customHeight="true" outlineLevel="0" collapsed="false">
      <c r="B4" s="20" t="s">
        <v>12</v>
      </c>
      <c r="C4" s="20" t="s">
        <v>76</v>
      </c>
      <c r="D4" s="20" t="s">
        <v>77</v>
      </c>
      <c r="E4" s="20" t="s">
        <v>78</v>
      </c>
      <c r="F4" s="20" t="s">
        <v>79</v>
      </c>
      <c r="G4" s="20" t="s">
        <v>80</v>
      </c>
      <c r="H4" s="20" t="s">
        <v>81</v>
      </c>
      <c r="I4" s="20" t="s">
        <v>82</v>
      </c>
      <c r="J4" s="20" t="s">
        <v>11</v>
      </c>
      <c r="K4" s="20" t="s">
        <v>15</v>
      </c>
      <c r="L4" s="20" t="s">
        <v>83</v>
      </c>
    </row>
    <row r="5" customFormat="false" ht="15" hidden="false" customHeight="false" outlineLevel="0" collapsed="false">
      <c r="B5" s="3" t="s">
        <v>56</v>
      </c>
      <c r="C5" s="31" t="n">
        <f aca="false">MIN(100,MAX(0,'Company Data'!C8/0.6*100))</f>
        <v>78.0650625217955</v>
      </c>
      <c r="D5" s="31" t="n">
        <f aca="false">MAX(0,100-ABS('Company Data'!C6-0.1)/0.15*100)</f>
        <v>100</v>
      </c>
      <c r="E5" s="31" t="n">
        <f aca="false">MAX(0,MIN(100,100*(1-'Company Data'!C13/'Screening Criteria'!$C$9)))</f>
        <v>100</v>
      </c>
      <c r="F5" s="31" t="n">
        <f aca="false">MAX(0,MIN(100,100*(1-'Company Data'!C12/'Screening Criteria'!$C$10)))</f>
        <v>50.6913422676026</v>
      </c>
      <c r="G5" s="32" t="n">
        <v>85</v>
      </c>
      <c r="H5" s="33" t="n">
        <f aca="false">C5*'Screening Criteria'!$C$14+D5*'Screening Criteria'!$C$15+E5*'Screening Criteria'!$C$16+F5*'Screening Criteria'!$C$17+G5*'Screening Criteria'!$C$18</f>
        <v>82.4045340839694</v>
      </c>
      <c r="I5" s="3" t="str">
        <f aca="false">IF(AND('Company Data'!C5&gt;='Screening Criteria'!$C$6,'Company Data'!C5&lt;='Screening Criteria'!$C$7,'Company Data'!C8&gt;='Screening Criteria'!$C$8),"PASS","FLAG")</f>
        <v>PASS</v>
      </c>
      <c r="J5" s="34" t="n">
        <f aca="false">RANK(H5,$H$5:$H$10)</f>
        <v>1</v>
      </c>
      <c r="K5" s="35" t="str">
        <f aca="false">IF(I5="FLAG","Fails quality/margin gate",IF(J5=1,"Top candidate",IF(H5&gt;=60,"Attractive","Priced in / pass")))</f>
        <v>Top candidate</v>
      </c>
      <c r="L5" s="12" t="n">
        <f aca="false">'Company Data'!C12</f>
        <v>7.39629865985961</v>
      </c>
    </row>
    <row r="6" customFormat="false" ht="15" hidden="false" customHeight="false" outlineLevel="0" collapsed="false">
      <c r="B6" s="3" t="s">
        <v>57</v>
      </c>
      <c r="C6" s="31" t="n">
        <f aca="false">MIN(100,MAX(0,'Company Data'!D8/0.6*100))</f>
        <v>43.3021806853583</v>
      </c>
      <c r="D6" s="31" t="n">
        <f aca="false">MAX(0,100-ABS('Company Data'!D6-0.1)/0.15*100)</f>
        <v>93.3333333333333</v>
      </c>
      <c r="E6" s="31" t="n">
        <f aca="false">MAX(0,MIN(100,100*(1-'Company Data'!D13/'Screening Criteria'!$C$9)))</f>
        <v>100</v>
      </c>
      <c r="F6" s="31" t="n">
        <f aca="false">MAX(0,MIN(100,100*(1-'Company Data'!D12/'Screening Criteria'!$C$10)))</f>
        <v>32.8537170263789</v>
      </c>
      <c r="G6" s="32" t="n">
        <v>75</v>
      </c>
      <c r="H6" s="33" t="n">
        <f aca="false">C6*'Screening Criteria'!$C$14+D6*'Screening Criteria'!$C$15+E6*'Screening Criteria'!$C$16+F6*'Screening Criteria'!$C$17+G6*'Screening Criteria'!$C$18</f>
        <v>67.312955243282</v>
      </c>
      <c r="I6" s="3" t="str">
        <f aca="false">IF(AND('Company Data'!D5&gt;='Screening Criteria'!$C$6,'Company Data'!D5&lt;='Screening Criteria'!$C$7,'Company Data'!D8&gt;='Screening Criteria'!$C$8),"PASS","FLAG")</f>
        <v>PASS</v>
      </c>
      <c r="J6" s="34" t="n">
        <f aca="false">RANK(H6,$H$5:$H$10)</f>
        <v>2</v>
      </c>
      <c r="K6" s="35" t="str">
        <f aca="false">IF(I6="FLAG","Fails quality/margin gate",IF(J6=1,"Top candidate",IF(H6&gt;=60,"Attractive","Priced in / pass")))</f>
        <v>Attractive</v>
      </c>
      <c r="L6" s="12" t="n">
        <f aca="false">'Company Data'!D12</f>
        <v>10.0719424460432</v>
      </c>
    </row>
    <row r="7" customFormat="false" ht="15" hidden="false" customHeight="false" outlineLevel="0" collapsed="false">
      <c r="B7" s="3" t="s">
        <v>58</v>
      </c>
      <c r="C7" s="31" t="n">
        <f aca="false">MIN(100,MAX(0,'Company Data'!E8/0.6*100))</f>
        <v>47.4934036939314</v>
      </c>
      <c r="D7" s="31" t="n">
        <f aca="false">MAX(0,100-ABS('Company Data'!E6-0.1)/0.15*100)</f>
        <v>86.6666666666667</v>
      </c>
      <c r="E7" s="31" t="n">
        <f aca="false">MAX(0,MIN(100,100*(1-'Company Data'!E13/'Screening Criteria'!$C$9)))</f>
        <v>60.1746031746032</v>
      </c>
      <c r="F7" s="31" t="n">
        <f aca="false">MAX(0,MIN(100,100*(1-'Company Data'!E12/'Screening Criteria'!$C$10)))</f>
        <v>24.4111111111111</v>
      </c>
      <c r="G7" s="32" t="n">
        <v>70</v>
      </c>
      <c r="H7" s="33" t="n">
        <f aca="false">C7*'Screening Criteria'!$C$14+D7*'Screening Criteria'!$C$15+E7*'Screening Criteria'!$C$16+F7*'Screening Criteria'!$C$17+G7*'Screening Criteria'!$C$18</f>
        <v>56.623827113959</v>
      </c>
      <c r="I7" s="3" t="str">
        <f aca="false">IF(AND('Company Data'!E5&gt;='Screening Criteria'!$C$6,'Company Data'!E5&lt;='Screening Criteria'!$C$7,'Company Data'!E8&gt;='Screening Criteria'!$C$8),"PASS","FLAG")</f>
        <v>PASS</v>
      </c>
      <c r="J7" s="34" t="n">
        <f aca="false">RANK(H7,$H$5:$H$10)</f>
        <v>3</v>
      </c>
      <c r="K7" s="35" t="str">
        <f aca="false">IF(I7="FLAG","Fails quality/margin gate",IF(J7=1,"Top candidate",IF(H7&gt;=60,"Attractive","Priced in / pass")))</f>
        <v>Priced in / pass</v>
      </c>
      <c r="L7" s="12" t="n">
        <f aca="false">'Company Data'!E12</f>
        <v>11.3383333333333</v>
      </c>
    </row>
    <row r="8" customFormat="false" ht="15" hidden="false" customHeight="false" outlineLevel="0" collapsed="false">
      <c r="B8" s="3" t="s">
        <v>59</v>
      </c>
      <c r="C8" s="31" t="n">
        <f aca="false">MIN(100,MAX(0,'Company Data'!F8/0.6*100))</f>
        <v>71.2608987256875</v>
      </c>
      <c r="D8" s="31" t="n">
        <f aca="false">MAX(0,100-ABS('Company Data'!F6-0.1)/0.15*100)</f>
        <v>60</v>
      </c>
      <c r="E8" s="31" t="n">
        <f aca="false">MAX(0,MIN(100,100*(1-'Company Data'!F13/'Screening Criteria'!$C$9)))</f>
        <v>17.1428571428572</v>
      </c>
      <c r="F8" s="31" t="n">
        <f aca="false">MAX(0,MIN(100,100*(1-'Company Data'!F12/'Screening Criteria'!$C$10)))</f>
        <v>54.6274509803922</v>
      </c>
      <c r="G8" s="32" t="n">
        <v>55</v>
      </c>
      <c r="H8" s="33" t="n">
        <f aca="false">C8*'Screening Criteria'!$C$14+D8*'Screening Criteria'!$C$15+E8*'Screening Criteria'!$C$16+F8*'Screening Criteria'!$C$17+G8*'Screening Criteria'!$C$18</f>
        <v>52.4192863060717</v>
      </c>
      <c r="I8" s="3" t="str">
        <f aca="false">IF(AND('Company Data'!F5&gt;='Screening Criteria'!$C$6,'Company Data'!F5&lt;='Screening Criteria'!$C$7,'Company Data'!F8&gt;='Screening Criteria'!$C$8),"PASS","FLAG")</f>
        <v>PASS</v>
      </c>
      <c r="J8" s="34" t="n">
        <f aca="false">RANK(H8,$H$5:$H$10)</f>
        <v>4</v>
      </c>
      <c r="K8" s="35" t="str">
        <f aca="false">IF(I8="FLAG","Fails quality/margin gate",IF(J8=1,"Top candidate",IF(H8&gt;=60,"Attractive","Priced in / pass")))</f>
        <v>Priced in / pass</v>
      </c>
      <c r="L8" s="12" t="n">
        <f aca="false">'Company Data'!F12</f>
        <v>6.80588235294118</v>
      </c>
    </row>
    <row r="9" customFormat="false" ht="15" hidden="false" customHeight="false" outlineLevel="0" collapsed="false">
      <c r="B9" s="3" t="s">
        <v>60</v>
      </c>
      <c r="C9" s="31" t="n">
        <f aca="false">MIN(100,MAX(0,'Company Data'!G8/0.6*100))</f>
        <v>16.388557806913</v>
      </c>
      <c r="D9" s="31" t="n">
        <f aca="false">MAX(0,100-ABS('Company Data'!G6-0.1)/0.15*100)</f>
        <v>46.6666666666667</v>
      </c>
      <c r="E9" s="30" t="s">
        <v>73</v>
      </c>
      <c r="F9" s="30" t="s">
        <v>73</v>
      </c>
      <c r="G9" s="32" t="n">
        <v>25</v>
      </c>
      <c r="H9" s="33" t="n">
        <f aca="false">(C9*'Screening Criteria'!$C$14+D9*'Screening Criteria'!$C$15+G9*'Screening Criteria'!$C$18)/('Screening Criteria'!$C$14+'Screening Criteria'!$C$15+'Screening Criteria'!$C$18)</f>
        <v>28.634121308436</v>
      </c>
      <c r="I9" s="3" t="str">
        <f aca="false">IF(AND('Company Data'!G5&gt;='Screening Criteria'!$C$6,'Company Data'!G5&lt;='Screening Criteria'!$C$7,'Company Data'!G8&gt;='Screening Criteria'!$C$8),"PASS","FLAG")</f>
        <v>FLAG</v>
      </c>
      <c r="J9" s="34" t="n">
        <f aca="false">RANK(H9,$H$5:$H$10)</f>
        <v>6</v>
      </c>
      <c r="K9" s="35" t="str">
        <f aca="false">IF(I9="FLAG","Fails quality/margin gate",IF(J9=1,"Top candidate",IF(H9&gt;=60,"Attractive","Priced in / pass")))</f>
        <v>Fails quality/margin gate</v>
      </c>
      <c r="L9" s="12" t="str">
        <f aca="false">'Company Data'!G12</f>
        <v>N/M</v>
      </c>
    </row>
    <row r="10" customFormat="false" ht="15" hidden="false" customHeight="false" outlineLevel="0" collapsed="false">
      <c r="B10" s="3" t="s">
        <v>61</v>
      </c>
      <c r="C10" s="31" t="n">
        <f aca="false">MIN(100,MAX(0,'Company Data'!H8/0.6*100))</f>
        <v>13.3423790140208</v>
      </c>
      <c r="D10" s="31" t="n">
        <f aca="false">MAX(0,100-ABS('Company Data'!H6-0.1)/0.15*100)</f>
        <v>50</v>
      </c>
      <c r="E10" s="31" t="n">
        <f aca="false">MAX(0,MIN(100,100*(1-'Company Data'!H13/'Screening Criteria'!$C$9)))</f>
        <v>100</v>
      </c>
      <c r="F10" s="31" t="n">
        <f aca="false">MAX(0,MIN(100,100*(1-'Company Data'!H12/'Screening Criteria'!$C$10)))</f>
        <v>0</v>
      </c>
      <c r="G10" s="32" t="n">
        <v>65</v>
      </c>
      <c r="H10" s="33" t="n">
        <f aca="false">C10*'Screening Criteria'!$C$14+D10*'Screening Criteria'!$C$15+E10*'Screening Criteria'!$C$16+F10*'Screening Criteria'!$C$17+G10*'Screening Criteria'!$C$18</f>
        <v>43.0855947535052</v>
      </c>
      <c r="I10" s="3" t="str">
        <f aca="false">IF(AND('Company Data'!H5&gt;='Screening Criteria'!$C$6,'Company Data'!H5&lt;='Screening Criteria'!$C$7,'Company Data'!H8&gt;='Screening Criteria'!$C$8),"PASS","FLAG")</f>
        <v>FLAG</v>
      </c>
      <c r="J10" s="34" t="n">
        <f aca="false">RANK(H10,$H$5:$H$10)</f>
        <v>5</v>
      </c>
      <c r="K10" s="35" t="str">
        <f aca="false">IF(I10="FLAG","Fails quality/margin gate",IF(J10=1,"Top candidate",IF(H10&gt;=60,"Attractive","Priced in / pass")))</f>
        <v>Fails quality/margin gate</v>
      </c>
      <c r="L10" s="12" t="n">
        <f aca="false">'Company Data'!H12</f>
        <v>72.6864406779661</v>
      </c>
    </row>
  </sheetData>
  <mergeCells count="1">
    <mergeCell ref="B2:K2"/>
  </mergeCells>
  <conditionalFormatting sqref="I5:I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2">
      <formula>"FLAG"</formula>
    </cfRule>
  </conditionalFormatting>
  <conditionalFormatting sqref="K5:K10">
    <cfRule type="cellIs" priority="4" operator="equal" aboveAverage="0" equalAverage="0" bottom="0" percent="0" rank="0" text="" dxfId="0">
      <formula>"Top candidate"</formula>
    </cfRule>
    <cfRule type="cellIs" priority="5" operator="equal" aboveAverage="0" equalAverage="0" bottom="0" percent="0" rank="0" text="" dxfId="0">
      <formula>"Attractive"</formula>
    </cfRule>
    <cfRule type="cellIs" priority="6" operator="equal" aboveAverage="0" equalAverage="0" bottom="0" percent="0" rank="0" text="" dxfId="1">
      <formula>"Priced in / pass"</formula>
    </cfRule>
    <cfRule type="cellIs" priority="7" operator="equal" aboveAverage="0" equalAverage="0" bottom="0" percent="0" rank="0" text="" dxfId="2">
      <formula>"Fails quality/margin 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2026-08-30T08:06:34Z</dcterms:created>
  <dc:creator>openpyxl</dc:creator>
  <dc:description/>
  <dc:language>en-US</dc:language>
  <cp:lastModifiedBy/>
  <dcterms:modified xsi:type="dcterms:W3CDTF">2026-08-30T08:06:34Z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