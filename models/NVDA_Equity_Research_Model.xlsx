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istoricals" sheetId="2" state="visible" r:id="rId4"/>
    <sheet name="Assumptions &amp; WACC" sheetId="3" state="visible" r:id="rId5"/>
    <sheet name="DCF Model" sheetId="4" state="visible" r:id="rId6"/>
    <sheet name="Com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3" authorId="0">
      <text>
        <r>
          <rPr>
            <sz val="10"/>
            <rFont val="Arial"/>
            <family val="2"/>
          </rPr>
          <t xml:space="preserve">Not included in the blended fair value below. AMD's trailing P/E (120.8x) is heavily distorted by earnings that are depressed relative to its growth story, and a simple peer-average P/E blindly applied to NVDA — already realizing far higher margins — produces a misleadingly high figure. Shown for reference; not treated as a reliable valuation input.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FY2024/FY2025 from NVIDIA 10-K filings; FY2026 (ended Jan 25, 2026) from NVIDIA Q4/FY26 press release ($215.9bn revenue, +65% YoY)</t>
        </r>
      </text>
    </comment>
    <comment ref="A10" authorId="0">
      <text>
        <r>
          <rPr>
            <sz val="10"/>
            <rFont val="Arial"/>
            <family val="2"/>
          </rPr>
          <t xml:space="preserve">FY2026 operating income approximated from reported GAAP EPS and share count; FY2024/25 as reported</t>
        </r>
      </text>
    </comment>
    <comment ref="A23" authorId="0">
      <text>
        <r>
          <rPr>
            <sz val="10"/>
            <rFont val="Arial"/>
            <family val="2"/>
          </rPr>
          <t xml:space="preserve">Q1/Q2 FY2027 actuals per NVIDIA Form 8-K (Q2 FY27 press release, Aug 26, 2026); Q3 FY27 is company guidance (revenue $108.0bn ±2%, GAAP/non-GAAP gross margin 74.0% ±50bps), not a reported actual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NASDAQ close, Aug 28, 2026 (implied from market cap/shares and P/E × EPS, both consistent to $217.4)</t>
        </r>
      </text>
    </comment>
    <comment ref="B6" authorId="0">
      <text>
        <r>
          <rPr>
            <sz val="10"/>
            <rFont val="Arial"/>
            <family val="2"/>
          </rPr>
          <t xml:space="preserve">Per Google Finance / market data providers, Aug 28, 2026</t>
        </r>
      </text>
    </comment>
    <comment ref="B8" authorId="0">
      <text>
        <r>
          <rPr>
            <sz val="10"/>
            <rFont val="Arial"/>
            <family val="2"/>
          </rPr>
          <t xml:space="preserve">Cash $22.4bn less short-term debt $1.0bn less long-term debt $32.4bn, per Q2 FY27 press release — NVIDIA currently carries net debt, a recent change from its historical large net-cash position, reflecting debt-funded capacity investment</t>
        </r>
      </text>
    </comment>
    <comment ref="B9" authorId="0">
      <text>
        <r>
          <rPr>
            <sz val="10"/>
            <rFont val="Arial"/>
            <family val="2"/>
          </rPr>
          <t xml:space="preserve">Midpoint of company-guided FY2027 GAAP/non-GAAP tax rate range of 17.0%–19.0%</t>
        </r>
      </text>
    </comment>
    <comment ref="B14" authorId="0">
      <text>
        <r>
          <rPr>
            <sz val="10"/>
            <rFont val="Arial"/>
            <family val="2"/>
          </rPr>
          <t xml:space="preserve">Reported beta per Google Finance, Aug 2026 — reflects NVDA's realized volatility including two major drawdowns (2022, 2025) and extreme historical dispersion of outcomes</t>
        </r>
      </text>
    </comment>
    <comment ref="B19" authorId="0">
      <text>
        <r>
          <rPr>
            <sz val="10"/>
            <rFont val="Arial"/>
            <family val="2"/>
          </rPr>
          <t xml:space="preserve">Analyst assumption, not a reported figure: reflects the bull argument that NVDA's forward risk is now closer to that of essential AI infrastructure with substantial revenue visibility from $279bn of disclosed supply/capacity commitments, rather than a speculative growth stock — still meaningfully above 1.0 given genuine customer-concentration and export-control risk</t>
        </r>
      </text>
    </comment>
    <comment ref="B31" authorId="0">
      <text>
        <r>
          <rPr>
            <sz val="10"/>
            <rFont val="Arial"/>
            <family val="2"/>
          </rPr>
          <t xml:space="preserve">Above a typical 2.5% GDP-linked assumption, reflecting a reasonable expectation that AI/accelerated-computing infrastructure spend grows faster than the broader economy over the very long run — still a judgment call, and the single assumption most worth stress-testing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3" authorId="0">
      <text>
        <r>
          <rPr>
            <sz val="10"/>
            <rFont val="Arial"/>
            <family val="2"/>
          </rPr>
          <t xml:space="preserve">Approximated as TTM net income / diluted shares; a small precision loss vs. reported EPS is expected from this shortcut</t>
        </r>
      </text>
    </comment>
    <comment ref="A15" authorId="0">
      <text>
        <r>
          <rPr>
            <sz val="10"/>
            <rFont val="Arial"/>
            <family val="2"/>
          </rPr>
          <t xml:space="preserve">FY28E EPS proxy uses the ~70% company-guided FY28 revenue growth applied to TTM EPS at a similar incremental margin — a rough proxy, not a full forward EPS build</t>
        </r>
      </text>
    </comment>
    <comment ref="B5" authorId="0">
      <text>
        <r>
          <rPr>
            <sz val="10"/>
            <rFont val="Arial"/>
            <family val="2"/>
          </rPr>
          <t xml:space="preserve">NVDA TTM revenue approximated from FY2026 ($215.9bn, ended Jan 2026) trailing forward through Q1+Q2 FY27; TTM net income approximated similarly. NVDA P/E per Google Finance, Aug 28 2026</t>
        </r>
      </text>
    </comment>
    <comment ref="B6" authorId="0">
      <text>
        <r>
          <rPr>
            <sz val="10"/>
            <rFont val="Arial"/>
            <family val="2"/>
          </rPr>
          <t xml:space="preserve">AMD statistics per stockanalysis.com (S&amp;P Global Market Intelligence), data as of Aug 24, 2026</t>
        </r>
      </text>
    </comment>
    <comment ref="B7" authorId="0">
      <text>
        <r>
          <rPr>
            <sz val="10"/>
            <rFont val="Arial"/>
            <family val="2"/>
          </rPr>
          <t xml:space="preserve">Broadcom statistics per stockanalysis.com, data as of Aug 28, 2026; price approximated from reported EPS × trailing P/E given some cross-source date variance in headline price</t>
        </r>
      </text>
    </comment>
  </commentList>
</comments>
</file>

<file path=xl/sharedStrings.xml><?xml version="1.0" encoding="utf-8"?>
<sst xmlns="http://schemas.openxmlformats.org/spreadsheetml/2006/main" count="179" uniqueCount="132">
  <si>
    <t xml:space="preserve">NVIDIA CORPORATION (NASDAQ: NVDA) — EQUITY RESEARCH VALUATION</t>
  </si>
  <si>
    <t xml:space="preserve">Proof-of-work project — Private Equity / Equity Research portfolio</t>
  </si>
  <si>
    <t xml:space="preserve">All figures in USD billions unless noted. FY2024-FY2026 10-K data; market data as of Aug 28, 2026.</t>
  </si>
  <si>
    <t xml:space="preserve">Current Share Price</t>
  </si>
  <si>
    <t xml:space="preserve">Market Capitalization</t>
  </si>
  <si>
    <t xml:space="preserve">WACC — Base Case</t>
  </si>
  <si>
    <t xml:space="preserve">WACC — Bull Case</t>
  </si>
  <si>
    <t xml:space="preserve">Valuation Method</t>
  </si>
  <si>
    <t xml:space="preserve">Implied Value/Share</t>
  </si>
  <si>
    <t xml:space="preserve">vs. Current Price</t>
  </si>
  <si>
    <t xml:space="preserve">DCF — Base Case (beta 2.23)</t>
  </si>
  <si>
    <t xml:space="preserve">DCF — Bull Case (beta 1.60)</t>
  </si>
  <si>
    <t xml:space="preserve">Comps — Peer Avg. TTM P/E (reference only, see note)</t>
  </si>
  <si>
    <t xml:space="preserve">Blended Fair Value (avg. of DCF base + bull only)</t>
  </si>
  <si>
    <t xml:space="preserve">Football Field — Chart Data</t>
  </si>
  <si>
    <t xml:space="preserve">Method</t>
  </si>
  <si>
    <t xml:space="preserve">Base (invisible)</t>
  </si>
  <si>
    <t xml:space="preserve">Range (visible)</t>
  </si>
  <si>
    <t xml:space="preserve">DCF — Base Case</t>
  </si>
  <si>
    <t xml:space="preserve">DCF — Bull Case</t>
  </si>
  <si>
    <t xml:space="preserve">Current Price</t>
  </si>
  <si>
    <t xml:space="preserve">Recommendation</t>
  </si>
  <si>
    <t xml:space="preserve">HOLD. NVDA at $217 sits between a strict CAPM base case (using NVDA's reported 2.23 beta) and a bull case that requires treating NVDA's forward risk as meaningfully de-risked by its disclosed supply/backlog commitments. Near-term growth is high-confidence (FY27/FY28 substantially guided); the real debate is the discount rate the market should apply to a company this large, this fast-growing, and this dependent on a handful of hyperscaler capex decisions. See the accompanying report for the full thesis, catalysts, and risks.</t>
  </si>
  <si>
    <t xml:space="preserve">NVIDIA CORPORATION — HISTORICAL FINANCIALS (FY2024-FY2026)</t>
  </si>
  <si>
    <t xml:space="preserve">Source: NVIDIA Form 10-K filings, FY2024-FY2026 (fiscal year ends last Sunday of January). $ in billions except per-share data.</t>
  </si>
  <si>
    <t xml:space="preserve">Fiscal Year</t>
  </si>
  <si>
    <t xml:space="preserve">FY2024A</t>
  </si>
  <si>
    <t xml:space="preserve">FY2025A</t>
  </si>
  <si>
    <t xml:space="preserve">FY2026A</t>
  </si>
  <si>
    <t xml:space="preserve">Total Revenue</t>
  </si>
  <si>
    <t xml:space="preserve">  Revenue Growth %</t>
  </si>
  <si>
    <t xml:space="preserve">n/a</t>
  </si>
  <si>
    <t xml:space="preserve">Gross Margin % (GAAP)</t>
  </si>
  <si>
    <t xml:space="preserve">Research &amp; Development</t>
  </si>
  <si>
    <t xml:space="preserve">SG&amp;A</t>
  </si>
  <si>
    <t xml:space="preserve">Operating Income (GAAP, approx.)</t>
  </si>
  <si>
    <t xml:space="preserve">  Operating Margin %</t>
  </si>
  <si>
    <t xml:space="preserve">Net Income (GAAP, approx.)</t>
  </si>
  <si>
    <t xml:space="preserve">Diluted EPS ($)</t>
  </si>
  <si>
    <t xml:space="preserve">Balance Sheet (selected)</t>
  </si>
  <si>
    <t xml:space="preserve">Cash, Equivalents &amp; Short-Term Inv.</t>
  </si>
  <si>
    <t xml:space="preserve">Total Debt</t>
  </si>
  <si>
    <t xml:space="preserve">Net Cash</t>
  </si>
  <si>
    <t xml:space="preserve">Quarterly Trend — FY2027 (current fiscal year)</t>
  </si>
  <si>
    <t xml:space="preserve">Quarter</t>
  </si>
  <si>
    <t xml:space="preserve">Q1 FY27A</t>
  </si>
  <si>
    <t xml:space="preserve">Q2 FY27A</t>
  </si>
  <si>
    <t xml:space="preserve">Q3 FY27E (guide)</t>
  </si>
  <si>
    <t xml:space="preserve">Revenue</t>
  </si>
  <si>
    <t xml:space="preserve">Data Center Revenue</t>
  </si>
  <si>
    <t xml:space="preserve">n/g</t>
  </si>
  <si>
    <t xml:space="preserve">GAAP Gross Margin %</t>
  </si>
  <si>
    <t xml:space="preserve">ASSUMPTIONS &amp; WACC — BASE CASE VS. BULL CASE</t>
  </si>
  <si>
    <t xml:space="preserve">Blue = hardcoded input/assumption. Black = formula. Green = link to another tab.</t>
  </si>
  <si>
    <t xml:space="preserve">Market Data</t>
  </si>
  <si>
    <t xml:space="preserve">Shares Outstanding (bn)</t>
  </si>
  <si>
    <t xml:space="preserve">Market Capitalization ($bn)</t>
  </si>
  <si>
    <t xml:space="preserve">Net Cash ($bn, Q2 FY27)</t>
  </si>
  <si>
    <t xml:space="preserve">Tax Rate</t>
  </si>
  <si>
    <t xml:space="preserve">WACC — Base Case (reported CAPM beta)</t>
  </si>
  <si>
    <t xml:space="preserve">Risk-Free Rate (10Y UST)</t>
  </si>
  <si>
    <t xml:space="preserve">Equity Risk Premium</t>
  </si>
  <si>
    <t xml:space="preserve">Beta (5Y, as reported)</t>
  </si>
  <si>
    <t xml:space="preserve">Cost of Equity (base)</t>
  </si>
  <si>
    <t xml:space="preserve">WACC (base) — debt negligible relative to market cap</t>
  </si>
  <si>
    <t xml:space="preserve">WACC — Bull Case (“de-risked infrastructure” beta)</t>
  </si>
  <si>
    <t xml:space="preserve">Beta (bull case assumption)</t>
  </si>
  <si>
    <t xml:space="preserve">Cost of Equity (bull)</t>
  </si>
  <si>
    <t xml:space="preserve">WACC (bull)</t>
  </si>
  <si>
    <t xml:space="preserve">Revenue Build — FY2027E-FY2031E</t>
  </si>
  <si>
    <t xml:space="preserve">Driver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</si>
  <si>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</si>
  <si>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</si>
  <si>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</si>
  <si>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</si>
  <si>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</si>
  <si>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Basis</t>
  </si>
  <si>
    <t xml:space="preserve">Revenue Growth % — Base Case</t>
  </si>
  <si>
    <t xml:space="preserve">FY27 built from Q1+Q2 actuals + Q3 guide + Q4 estimate; FY28 per company's own “~70%, supply-constrained” guidance; FY29-31 moderated sharply by this analysis as growth mathematically cannot stay near 70-100% at this revenue scale</t>
  </si>
  <si>
    <t xml:space="preserve">Revenue Growth % — Bull Case</t>
  </si>
  <si>
    <t xml:space="preserve">Same FY27/FY28 as base case; FY29-31 assumes slower deceleration, consistent with management's characterization of underlying demand running closer to 100% than the supply-constrained 70% guide</t>
  </si>
  <si>
    <t xml:space="preserve">Operating Margin %</t>
  </si>
  <si>
    <t xml:space="preserve">Q2 FY27 adj. operating margin was ~66.5%; held at a more conservative 56-61% range reflecting likely margin normalization as memory costs rise and competitive intensity increases</t>
  </si>
  <si>
    <t xml:space="preserve">D&amp;A % of Revenue</t>
  </si>
  <si>
    <t xml:space="preserve">Capex % of Revenue</t>
  </si>
  <si>
    <t xml:space="preserve">Reflects NVIDIA's own capacity/supply investment (rising near-term, moderating as the buildout matures)</t>
  </si>
  <si>
    <t xml:space="preserve">Incremental NWC % of Revenue Growth</t>
  </si>
  <si>
    <t xml:space="preserve">Terminal Growth Rate</t>
  </si>
  <si>
    <t xml:space="preserve">NVIDIA CORPORATION — DISCOUNTED CASH FLOW MODEL</t>
  </si>
  <si>
    <t xml:space="preserve">$ in billions except per-share data. Explicit forecast FY2027E-FY2031E, built and discounted separately under base-case and bull-case scenarios.</t>
  </si>
  <si>
    <t xml:space="preserve">BASE CASE — Reported Beta (2.23), WACC ~16.4%</t>
  </si>
  <si>
    <t xml:space="preserve">Revenue Growth %</t>
  </si>
  <si>
    <t xml:space="preserve">Operating Income (EBIT)</t>
  </si>
  <si>
    <t xml:space="preserve">NOPAT</t>
  </si>
  <si>
    <t xml:space="preserve">(+) D&amp;A</t>
  </si>
  <si>
    <t xml:space="preserve">(-) Capital Expenditures</t>
  </si>
  <si>
    <t xml:space="preserve">(-) Incremental NWC</t>
  </si>
  <si>
    <t xml:space="preserve">Unlevered Free Cash Flow</t>
  </si>
  <si>
    <t xml:space="preserve">Discount Period</t>
  </si>
  <si>
    <t xml:space="preserve">Discount Factor</t>
  </si>
  <si>
    <t xml:space="preserve">PV of Unlevered FCF</t>
  </si>
  <si>
    <t xml:space="preserve">Terminal Value (undiscounted)</t>
  </si>
  <si>
    <t xml:space="preserve">PV of Terminal Value</t>
  </si>
  <si>
    <t xml:space="preserve">Sum of PV of Explicit FCF</t>
  </si>
  <si>
    <t xml:space="preserve">(+) PV of Terminal Value</t>
  </si>
  <si>
    <t xml:space="preserve">Enterprise Value</t>
  </si>
  <si>
    <t xml:space="preserve">(+) Net Cash / (Net Debt)</t>
  </si>
  <si>
    <t xml:space="preserve">Implied Equity Value</t>
  </si>
  <si>
    <t xml:space="preserve">Implied Value per Share</t>
  </si>
  <si>
    <t xml:space="preserve">BULL CASE — De-Risked Beta (1.60), WACC ~12.9%</t>
  </si>
  <si>
    <t xml:space="preserve">Sensitivity 1: Base Case — Implied Share Price (WACC vs. Terminal Growth)</t>
  </si>
  <si>
    <t xml:space="preserve">WACC \ Term. Growth</t>
  </si>
  <si>
    <t xml:space="preserve">Sensitivity 2: Bull Case — Implied Share Price (WACC vs. Terminal Growth)</t>
  </si>
  <si>
    <t xml:space="preserve">COMPARABLE COMPANY ANALYSIS — SEMICONDUCTOR / AI INFRASTRUCTURE PEERS</t>
  </si>
  <si>
    <t xml:space="preserve">$ in billions except per-share and multiple data. Peer market data snapshot, Aug 24–28, 2026.</t>
  </si>
  <si>
    <t xml:space="preserve">Company</t>
  </si>
  <si>
    <t xml:space="preserve">Price</t>
  </si>
  <si>
    <t xml:space="preserve">Beta</t>
  </si>
  <si>
    <t xml:space="preserve">Revenue (TTM)</t>
  </si>
  <si>
    <t xml:space="preserve">Net Income (TTM)</t>
  </si>
  <si>
    <t xml:space="preserve">P/E (TTM)</t>
  </si>
  <si>
    <t xml:space="preserve">P/E (Fwd)</t>
  </si>
  <si>
    <t xml:space="preserve">EV/EBITDA</t>
  </si>
  <si>
    <t xml:space="preserve">NVIDIA (NVDA)</t>
  </si>
  <si>
    <t xml:space="preserve">AMD</t>
  </si>
  <si>
    <t xml:space="preserve">Broadcom (AVGO)</t>
  </si>
  <si>
    <t xml:space="preserve">Peer (ex-NVDA) Average P/E (TTM)</t>
  </si>
  <si>
    <t xml:space="preserve">Peer (ex-NVDA) Average P/E (Fwd)</t>
  </si>
  <si>
    <t xml:space="preserve">Implied NVDA Valuation — Peer Multiple Cross-Check</t>
  </si>
  <si>
    <t xml:space="preserve">NVDA TTM EPS ($)</t>
  </si>
  <si>
    <t xml:space="preserve">Applying peer avg. TTM P/E</t>
  </si>
  <si>
    <t xml:space="preserve">Applying peer avg. Fwd P/E (to FY28E EPS proxy)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</si>
</sst>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\$#,##0;&quot;($&quot;#,##0\);\-"/>
    <numFmt numFmtId="167" formatCode="0.00%"/>
    <numFmt numFmtId="168" formatCode="0.0%"/>
    <numFmt numFmtId="169" formatCode="0.00"/>
    <numFmt numFmtId="170" formatCode="0"/>
    <numFmt numFmtId="171" formatCode="0.000"/>
    <numFmt numFmtId="172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00FF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Football Field — Implied Value per Share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Summary!B19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Summary!$A$20:$A$22</c:f>
              <c:strCache>
                <c:ptCount val="3"/>
                <c:pt idx="0">
                  <c:v>DCF — Base Case</c:v>
                </c:pt>
                <c:pt idx="1">
                  <c:v>DCF — Bull Case</c:v>
                </c:pt>
                <c:pt idx="2">
                  <c:v>Current Price</c:v>
                </c:pt>
              </c:strCache>
            </c:strRef>
          </c:cat>
          <c:val>
            <c:numRef>
              <c:f>Summary!$B$20:$B$22</c:f>
              <c:numCache>
                <c:formatCode>\$#,##0.00;"($"#,##0.00\);\-</c:formatCode>
                <c:ptCount val="3"/>
                <c:pt idx="0">
                  <c:v>108.053295448048</c:v>
                </c:pt>
                <c:pt idx="1">
                  <c:v>169.969744279644</c:v>
                </c:pt>
                <c:pt idx="2">
                  <c:v>213.0814</c:v>
                </c:pt>
              </c:numCache>
            </c:numRef>
          </c:val>
        </c:ser>
        <c:ser>
          <c:idx val="1"/>
          <c:order val="1"/>
          <c:tx>
            <c:strRef>
              <c:f>Summary!C19</c:f>
              <c:strCache>
                <c:ptCount val="1"/>
                <c:pt idx="0">
                  <c:v>Range (visible)</c:v>
                </c:pt>
              </c:strCache>
            </c:strRef>
          </c:tx>
          <c:spPr>
            <a:solidFill>
              <a:srgbClr val="1b2a4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Summary!$A$20:$A$22</c:f>
              <c:strCache>
                <c:ptCount val="3"/>
                <c:pt idx="0">
                  <c:v>DCF — Base Case</c:v>
                </c:pt>
                <c:pt idx="1">
                  <c:v>DCF — Bull Case</c:v>
                </c:pt>
                <c:pt idx="2">
                  <c:v>Current Price</c:v>
                </c:pt>
              </c:strCache>
            </c:strRef>
          </c:cat>
          <c:val>
            <c:numRef>
              <c:f>Summary!$C$20:$C$22</c:f>
              <c:numCache>
                <c:formatCode>\$#,##0.00;"($"#,##0.00\);\-</c:formatCode>
                <c:ptCount val="3"/>
                <c:pt idx="0">
                  <c:v>64.7776884729769</c:v>
                </c:pt>
                <c:pt idx="1">
                  <c:v>163.045052882493</c:v>
                </c:pt>
                <c:pt idx="2">
                  <c:v>8.69720000000001</c:v>
                </c:pt>
              </c:numCache>
            </c:numRef>
          </c:val>
        </c:ser>
        <c:gapWidth val="150"/>
        <c:overlap val="100"/>
        <c:axId val="15839965"/>
        <c:axId val="8589073"/>
      </c:barChart>
      <c:catAx>
        <c:axId val="1583996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Implied Share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89073"/>
        <c:crosses val="autoZero"/>
        <c:auto val="1"/>
        <c:lblAlgn val="ctr"/>
        <c:lblOffset val="100"/>
        <c:noMultiLvlLbl val="0"/>
      </c:catAx>
      <c:valAx>
        <c:axId val="8589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399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160920</xdr:rowOff>
    </xdr:from>
    <xdr:to>
      <xdr:col>5</xdr:col>
      <xdr:colOff>574200</xdr:colOff>
      <xdr:row>30</xdr:row>
      <xdr:rowOff>182880</xdr:rowOff>
    </xdr:to>
    <xdr:graphicFrame>
      <xdr:nvGraphicFramePr>
        <xdr:cNvPr id="0" name="Chart 1"/>
        <xdr:cNvGraphicFramePr/>
      </xdr:nvGraphicFramePr>
      <xdr:xfrm>
        <a:off x="0" y="3048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8" min="5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n">
        <f aca="false">'Assumptions &amp; WACC'!B5</f>
        <v>217.43</v>
      </c>
      <c r="C5" s="5"/>
    </row>
    <row r="6" customFormat="false" ht="15" hidden="false" customHeight="false" outlineLevel="0" collapsed="false">
      <c r="A6" s="6" t="s">
        <v>4</v>
      </c>
      <c r="B6" s="7" t="n">
        <f aca="false">'Assumptions &amp; WACC'!B7</f>
        <v>5240.063</v>
      </c>
      <c r="C6" s="5"/>
    </row>
    <row r="7" customFormat="false" ht="15" hidden="false" customHeight="false" outlineLevel="0" collapsed="false">
      <c r="A7" s="6" t="s">
        <v>5</v>
      </c>
      <c r="B7" s="8" t="n">
        <f aca="false">'Assumptions &amp; WACC'!B16</f>
        <v>0.16365</v>
      </c>
      <c r="C7" s="5"/>
    </row>
    <row r="8" customFormat="false" ht="15" hidden="false" customHeight="false" outlineLevel="0" collapsed="false">
      <c r="A8" s="6" t="s">
        <v>6</v>
      </c>
      <c r="B8" s="8" t="n">
        <f aca="false">'Assumptions &amp; WACC'!B21</f>
        <v>0.129</v>
      </c>
      <c r="C8" s="5"/>
    </row>
    <row r="9" customFormat="false" ht="15" hidden="false" customHeight="false" outlineLevel="0" collapsed="false">
      <c r="A9" s="5"/>
      <c r="B9" s="5"/>
      <c r="C9" s="5"/>
    </row>
    <row r="10" customFormat="false" ht="15" hidden="false" customHeight="false" outlineLevel="0" collapsed="false">
      <c r="A10" s="9" t="s">
        <v>7</v>
      </c>
      <c r="B10" s="9" t="s">
        <v>8</v>
      </c>
      <c r="C10" s="9" t="s">
        <v>9</v>
      </c>
    </row>
    <row r="11" customFormat="false" ht="15" hidden="false" customHeight="false" outlineLevel="0" collapsed="false">
      <c r="A11" s="6" t="s">
        <v>10</v>
      </c>
      <c r="B11" s="4" t="n">
        <f aca="false">'DCF Model'!B29</f>
        <v>132.952113266165</v>
      </c>
      <c r="C11" s="10" t="n">
        <f aca="false">B11/$B$5-1</f>
        <v>-0.388529120792142</v>
      </c>
    </row>
    <row r="12" customFormat="false" ht="15" hidden="false" customHeight="false" outlineLevel="0" collapsed="false">
      <c r="A12" s="6" t="s">
        <v>11</v>
      </c>
      <c r="B12" s="4" t="n">
        <f aca="false">'DCF Model'!B56</f>
        <v>225.512706924467</v>
      </c>
      <c r="C12" s="10" t="n">
        <f aca="false">B12/$B$5-1</f>
        <v>0.0371738349099364</v>
      </c>
    </row>
    <row r="13" customFormat="false" ht="15" hidden="false" customHeight="false" outlineLevel="0" collapsed="false">
      <c r="A13" s="6" t="s">
        <v>12</v>
      </c>
      <c r="B13" s="4" t="n">
        <f aca="false">Comps!B14</f>
        <v>400.096929460581</v>
      </c>
      <c r="C13" s="10" t="n">
        <f aca="false">B13/$B$5-1</f>
        <v>0.840118334455139</v>
      </c>
    </row>
    <row r="14" customFormat="false" ht="15" hidden="false" customHeight="false" outlineLevel="0" collapsed="false">
      <c r="A14" s="5"/>
      <c r="B14" s="5"/>
      <c r="C14" s="5"/>
    </row>
    <row r="15" customFormat="false" ht="15" hidden="false" customHeight="false" outlineLevel="0" collapsed="false">
      <c r="A15" s="3" t="s">
        <v>13</v>
      </c>
      <c r="B15" s="11" t="n">
        <f aca="false">AVERAGE(B11:B12)</f>
        <v>179.232410095316</v>
      </c>
      <c r="C15" s="10" t="n">
        <f aca="false">B15/$B$5-1</f>
        <v>-0.175677642941103</v>
      </c>
    </row>
    <row r="16" customFormat="false" ht="15" hidden="false" customHeight="false" outlineLevel="0" collapsed="false">
      <c r="A16" s="5"/>
      <c r="B16" s="5"/>
      <c r="C16" s="5"/>
    </row>
    <row r="17" customFormat="false" ht="15" hidden="false" customHeight="false" outlineLevel="0" collapsed="false">
      <c r="A17" s="5"/>
      <c r="B17" s="5"/>
      <c r="C17" s="5"/>
    </row>
    <row r="18" customFormat="false" ht="15" hidden="false" customHeight="false" outlineLevel="0" collapsed="false">
      <c r="A18" s="12" t="s">
        <v>14</v>
      </c>
      <c r="B18" s="5"/>
      <c r="C18" s="5"/>
    </row>
    <row r="19" customFormat="false" ht="15" hidden="false" customHeight="false" outlineLevel="0" collapsed="false">
      <c r="A19" s="6" t="s">
        <v>15</v>
      </c>
      <c r="B19" s="6" t="s">
        <v>16</v>
      </c>
      <c r="C19" s="6" t="s">
        <v>17</v>
      </c>
    </row>
    <row r="20" customFormat="false" ht="15" hidden="false" customHeight="false" outlineLevel="0" collapsed="false">
      <c r="A20" s="5" t="s">
        <v>18</v>
      </c>
      <c r="B20" s="13" t="n">
        <f aca="false">MIN('DCF Model'!B60:F64)</f>
        <v>108.053295448048</v>
      </c>
      <c r="C20" s="13" t="n">
        <f aca="false">MAX('DCF Model'!B60:F64)-(MIN('DCF Model'!B60:F64))</f>
        <v>64.7776884729769</v>
      </c>
    </row>
    <row r="21" customFormat="false" ht="15" hidden="false" customHeight="false" outlineLevel="0" collapsed="false">
      <c r="A21" s="0" t="s">
        <v>19</v>
      </c>
      <c r="B21" s="14" t="n">
        <f aca="false">MIN('DCF Model'!B69:F73)</f>
        <v>169.969744279644</v>
      </c>
      <c r="C21" s="14" t="n">
        <f aca="false">MAX('DCF Model'!B69:F73)-(MIN('DCF Model'!B69:F73))</f>
        <v>163.045052882493</v>
      </c>
    </row>
    <row r="22" customFormat="false" ht="15" hidden="false" customHeight="false" outlineLevel="0" collapsed="false">
      <c r="A22" s="0" t="s">
        <v>20</v>
      </c>
      <c r="B22" s="14" t="n">
        <f aca="false">$B$5*0.98</f>
        <v>213.0814</v>
      </c>
      <c r="C22" s="14" t="n">
        <f aca="false">$B$5*1.02-($B$5*0.98)</f>
        <v>8.69720000000001</v>
      </c>
    </row>
    <row r="35" customFormat="false" ht="15" hidden="false" customHeight="false" outlineLevel="0" collapsed="false">
      <c r="A35" s="15" t="s">
        <v>21</v>
      </c>
    </row>
    <row r="36" customFormat="false" ht="15" hidden="false" customHeight="true" outlineLevel="0" collapsed="false">
      <c r="A36" s="16" t="s">
        <v>22</v>
      </c>
      <c r="B36" s="16"/>
      <c r="C36" s="16"/>
      <c r="D36" s="16"/>
      <c r="E36" s="16"/>
      <c r="F36" s="16"/>
      <c r="G36" s="16"/>
      <c r="H36" s="16"/>
    </row>
    <row r="37" customFormat="false" ht="15" hidden="false" customHeight="false" outlineLevel="0" collapsed="false">
      <c r="A37" s="16"/>
      <c r="B37" s="16"/>
      <c r="C37" s="16"/>
      <c r="D37" s="16"/>
      <c r="E37" s="16"/>
      <c r="F37" s="16"/>
      <c r="G37" s="16"/>
      <c r="H37" s="16"/>
    </row>
    <row r="38" customFormat="false" ht="15" hidden="false" customHeight="false" outlineLevel="0" collapsed="false">
      <c r="A38" s="16"/>
      <c r="B38" s="16"/>
      <c r="C38" s="16"/>
      <c r="D38" s="16"/>
      <c r="E38" s="16"/>
      <c r="F38" s="16"/>
      <c r="G38" s="16"/>
      <c r="H38" s="16"/>
    </row>
    <row r="39" customFormat="false" ht="15" hidden="false" customHeight="false" outlineLevel="0" collapsed="false">
      <c r="A39" s="16"/>
      <c r="B39" s="16"/>
      <c r="C39" s="16"/>
      <c r="D39" s="16"/>
      <c r="E39" s="16"/>
      <c r="F39" s="16"/>
      <c r="G39" s="16"/>
      <c r="H39" s="16"/>
    </row>
    <row r="40" customFormat="false" ht="15" hidden="false" customHeight="false" outlineLevel="0" collapsed="false">
      <c r="A40" s="16"/>
      <c r="B40" s="16"/>
      <c r="C40" s="16"/>
      <c r="D40" s="16"/>
      <c r="E40" s="16"/>
      <c r="F40" s="16"/>
      <c r="G40" s="16"/>
      <c r="H40" s="16"/>
    </row>
    <row r="41" customFormat="false" ht="15" hidden="false" customHeight="false" outlineLevel="0" collapsed="false">
      <c r="A41" s="16"/>
      <c r="B41" s="16"/>
      <c r="C41" s="16"/>
      <c r="D41" s="16"/>
      <c r="E41" s="16"/>
      <c r="F41" s="16"/>
      <c r="G41" s="16"/>
      <c r="H41" s="16"/>
    </row>
    <row r="42" customFormat="false" ht="15" hidden="false" customHeight="false" outlineLevel="0" collapsed="false">
      <c r="A42" s="16"/>
      <c r="B42" s="16"/>
      <c r="C42" s="16"/>
      <c r="D42" s="16"/>
      <c r="E42" s="16"/>
      <c r="F42" s="16"/>
      <c r="G42" s="16"/>
      <c r="H42" s="16"/>
    </row>
    <row r="43" customFormat="false" ht="15" hidden="false" customHeight="false" outlineLevel="0" collapsed="false">
      <c r="A43" s="16"/>
      <c r="B43" s="16"/>
      <c r="C43" s="16"/>
      <c r="D43" s="16"/>
      <c r="E43" s="16"/>
      <c r="F43" s="16"/>
      <c r="G43" s="16"/>
      <c r="H43" s="16"/>
    </row>
  </sheetData>
  <mergeCells count="2">
    <mergeCell ref="A1:H1"/>
    <mergeCell ref="A36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1" t="s">
        <v>23</v>
      </c>
      <c r="B1" s="1"/>
      <c r="C1" s="1"/>
      <c r="D1" s="1"/>
    </row>
    <row r="2" customFormat="false" ht="15" hidden="false" customHeight="false" outlineLevel="0" collapsed="false">
      <c r="A2" s="2" t="s">
        <v>24</v>
      </c>
    </row>
    <row r="4" customFormat="false" ht="15" hidden="false" customHeight="false" outlineLevel="0" collapsed="false">
      <c r="A4" s="9" t="s">
        <v>25</v>
      </c>
      <c r="B4" s="9" t="s">
        <v>26</v>
      </c>
      <c r="C4" s="9" t="s">
        <v>27</v>
      </c>
      <c r="D4" s="9" t="s">
        <v>28</v>
      </c>
    </row>
    <row r="5" customFormat="false" ht="15" hidden="false" customHeight="false" outlineLevel="0" collapsed="false">
      <c r="A5" s="3" t="s">
        <v>29</v>
      </c>
      <c r="B5" s="17" t="n">
        <v>60.922</v>
      </c>
      <c r="C5" s="17" t="n">
        <v>130.497</v>
      </c>
      <c r="D5" s="17" t="n">
        <v>215.9</v>
      </c>
    </row>
    <row r="6" customFormat="false" ht="15" hidden="false" customHeight="false" outlineLevel="0" collapsed="false">
      <c r="A6" s="18" t="s">
        <v>30</v>
      </c>
      <c r="B6" s="5" t="s">
        <v>31</v>
      </c>
      <c r="C6" s="10" t="n">
        <f aca="false">C5/B5-1</f>
        <v>1.14203407635994</v>
      </c>
      <c r="D6" s="10" t="n">
        <f aca="false">D5/C5-1</f>
        <v>0.654444163467359</v>
      </c>
    </row>
    <row r="7" customFormat="false" ht="15" hidden="false" customHeight="false" outlineLevel="0" collapsed="false">
      <c r="A7" s="6" t="s">
        <v>32</v>
      </c>
      <c r="B7" s="19" t="n">
        <v>0.729</v>
      </c>
      <c r="C7" s="19" t="n">
        <v>0.75</v>
      </c>
      <c r="D7" s="19" t="n">
        <v>0.711</v>
      </c>
    </row>
    <row r="8" customFormat="false" ht="15" hidden="false" customHeight="false" outlineLevel="0" collapsed="false">
      <c r="A8" s="6" t="s">
        <v>33</v>
      </c>
      <c r="B8" s="20" t="n">
        <v>8.675</v>
      </c>
      <c r="C8" s="20" t="n">
        <v>12.914</v>
      </c>
      <c r="D8" s="20" t="n">
        <v>18.497</v>
      </c>
    </row>
    <row r="9" customFormat="false" ht="15" hidden="false" customHeight="false" outlineLevel="0" collapsed="false">
      <c r="A9" s="6" t="s">
        <v>34</v>
      </c>
      <c r="B9" s="20" t="n">
        <v>2.654</v>
      </c>
      <c r="C9" s="20" t="n">
        <v>3.491</v>
      </c>
      <c r="D9" s="20" t="n">
        <v>4.579</v>
      </c>
    </row>
    <row r="10" customFormat="false" ht="15" hidden="false" customHeight="false" outlineLevel="0" collapsed="false">
      <c r="A10" s="3" t="s">
        <v>35</v>
      </c>
      <c r="B10" s="17" t="n">
        <v>32.972</v>
      </c>
      <c r="C10" s="17" t="n">
        <v>81.453</v>
      </c>
      <c r="D10" s="17" t="n">
        <v>128.9</v>
      </c>
    </row>
    <row r="11" customFormat="false" ht="15" hidden="false" customHeight="false" outlineLevel="0" collapsed="false">
      <c r="A11" s="18" t="s">
        <v>36</v>
      </c>
      <c r="B11" s="10" t="n">
        <f aca="false">B10/B5</f>
        <v>0.541216637667838</v>
      </c>
      <c r="C11" s="10" t="n">
        <f aca="false">C10/C5</f>
        <v>0.624175268396975</v>
      </c>
      <c r="D11" s="10" t="n">
        <f aca="false">D10/D5</f>
        <v>0.597035664659565</v>
      </c>
    </row>
    <row r="12" customFormat="false" ht="15" hidden="false" customHeight="false" outlineLevel="0" collapsed="false">
      <c r="A12" s="3" t="s">
        <v>37</v>
      </c>
      <c r="B12" s="17" t="n">
        <v>29.76</v>
      </c>
      <c r="C12" s="17" t="n">
        <v>72.88</v>
      </c>
      <c r="D12" s="17" t="n">
        <v>105.6</v>
      </c>
    </row>
    <row r="13" customFormat="false" ht="15" hidden="false" customHeight="false" outlineLevel="0" collapsed="false">
      <c r="A13" s="6" t="s">
        <v>38</v>
      </c>
      <c r="B13" s="21" t="n">
        <v>1.19</v>
      </c>
      <c r="C13" s="21" t="n">
        <v>2.94</v>
      </c>
      <c r="D13" s="21" t="n">
        <v>4.9</v>
      </c>
    </row>
    <row r="14" customFormat="false" ht="15" hidden="false" customHeight="false" outlineLevel="0" collapsed="false">
      <c r="A14" s="5"/>
      <c r="B14" s="5"/>
      <c r="C14" s="5"/>
      <c r="D14" s="5"/>
    </row>
    <row r="15" customFormat="false" ht="15" hidden="false" customHeight="false" outlineLevel="0" collapsed="false">
      <c r="A15" s="22" t="s">
        <v>39</v>
      </c>
      <c r="B15" s="23"/>
      <c r="C15" s="23"/>
      <c r="D15" s="23"/>
    </row>
    <row r="16" customFormat="false" ht="15" hidden="false" customHeight="false" outlineLevel="0" collapsed="false">
      <c r="A16" s="6" t="s">
        <v>40</v>
      </c>
      <c r="B16" s="20" t="n">
        <v>25.984</v>
      </c>
      <c r="C16" s="20" t="n">
        <v>43.21</v>
      </c>
      <c r="D16" s="20" t="n">
        <v>62.6</v>
      </c>
    </row>
    <row r="17" customFormat="false" ht="15" hidden="false" customHeight="false" outlineLevel="0" collapsed="false">
      <c r="A17" s="6" t="s">
        <v>41</v>
      </c>
      <c r="B17" s="20" t="n">
        <v>9.709</v>
      </c>
      <c r="C17" s="20" t="n">
        <v>8.463</v>
      </c>
      <c r="D17" s="20" t="n">
        <v>10</v>
      </c>
    </row>
    <row r="18" customFormat="false" ht="15" hidden="false" customHeight="false" outlineLevel="0" collapsed="false">
      <c r="A18" s="3" t="s">
        <v>42</v>
      </c>
      <c r="B18" s="24" t="n">
        <f aca="false">B16-B17</f>
        <v>16.275</v>
      </c>
      <c r="C18" s="24" t="n">
        <f aca="false">C16-C17</f>
        <v>34.747</v>
      </c>
      <c r="D18" s="24" t="n">
        <f aca="false">D16-D17</f>
        <v>52.6</v>
      </c>
    </row>
    <row r="19" customFormat="false" ht="15" hidden="false" customHeight="false" outlineLevel="0" collapsed="false">
      <c r="A19" s="5"/>
      <c r="B19" s="5"/>
      <c r="C19" s="5"/>
      <c r="D19" s="5"/>
    </row>
    <row r="20" customFormat="false" ht="15" hidden="false" customHeight="false" outlineLevel="0" collapsed="false">
      <c r="A20" s="5"/>
      <c r="B20" s="5"/>
      <c r="C20" s="5"/>
      <c r="D20" s="5"/>
    </row>
    <row r="21" customFormat="false" ht="15" hidden="false" customHeight="false" outlineLevel="0" collapsed="false">
      <c r="A21" s="22" t="s">
        <v>43</v>
      </c>
      <c r="B21" s="23"/>
      <c r="C21" s="23"/>
      <c r="D21" s="23"/>
      <c r="E21" s="25"/>
    </row>
    <row r="22" customFormat="false" ht="15" hidden="false" customHeight="false" outlineLevel="0" collapsed="false">
      <c r="A22" s="9" t="s">
        <v>44</v>
      </c>
      <c r="B22" s="9" t="s">
        <v>45</v>
      </c>
      <c r="C22" s="9" t="s">
        <v>46</v>
      </c>
      <c r="D22" s="9" t="s">
        <v>47</v>
      </c>
    </row>
    <row r="23" customFormat="false" ht="15" hidden="false" customHeight="false" outlineLevel="0" collapsed="false">
      <c r="A23" s="6" t="s">
        <v>48</v>
      </c>
      <c r="B23" s="20" t="n">
        <v>81.615</v>
      </c>
      <c r="C23" s="20" t="n">
        <v>96.221</v>
      </c>
      <c r="D23" s="20" t="n">
        <v>108</v>
      </c>
    </row>
    <row r="24" customFormat="false" ht="15" hidden="false" customHeight="false" outlineLevel="0" collapsed="false">
      <c r="A24" s="6" t="s">
        <v>49</v>
      </c>
      <c r="B24" s="20" t="n">
        <v>75.246</v>
      </c>
      <c r="C24" s="20" t="n">
        <v>89.023</v>
      </c>
      <c r="D24" s="5" t="s">
        <v>50</v>
      </c>
    </row>
    <row r="25" customFormat="false" ht="15" hidden="false" customHeight="false" outlineLevel="0" collapsed="false">
      <c r="A25" s="6" t="s">
        <v>51</v>
      </c>
      <c r="B25" s="5" t="s">
        <v>31</v>
      </c>
      <c r="C25" s="19" t="n">
        <v>0.75</v>
      </c>
      <c r="D25" s="19" t="n">
        <v>0.74</v>
      </c>
    </row>
    <row r="26" customFormat="false" ht="15" hidden="false" customHeight="false" outlineLevel="0" collapsed="false">
      <c r="A26" s="5"/>
      <c r="B26" s="5"/>
      <c r="C26" s="5"/>
      <c r="D26" s="5"/>
    </row>
    <row r="27" customFormat="false" ht="15" hidden="false" customHeight="false" outlineLevel="0" collapsed="false">
      <c r="A27" s="5"/>
      <c r="B27" s="5"/>
      <c r="C27" s="5"/>
      <c r="D27" s="5"/>
    </row>
    <row r="28" customFormat="false" ht="15" hidden="false" customHeight="false" outlineLevel="0" collapsed="false">
      <c r="A28" s="5"/>
      <c r="B28" s="5"/>
      <c r="C28" s="5"/>
      <c r="D28" s="5"/>
    </row>
    <row r="29" customFormat="false" ht="15" hidden="false" customHeight="false" outlineLevel="0" collapsed="false">
      <c r="A29" s="5"/>
      <c r="B29" s="5"/>
      <c r="C29" s="5"/>
      <c r="D29" s="5"/>
    </row>
    <row r="30" customFormat="false" ht="15" hidden="false" customHeight="false" outlineLevel="0" collapsed="false">
      <c r="A30" s="5"/>
      <c r="B30" s="5"/>
      <c r="C30" s="5"/>
      <c r="D30" s="5"/>
    </row>
    <row r="31" customFormat="false" ht="15" hidden="false" customHeight="false" outlineLevel="0" collapsed="false">
      <c r="A31" s="5"/>
      <c r="B31" s="5"/>
      <c r="C31" s="5"/>
      <c r="D31" s="5"/>
    </row>
    <row r="32" customFormat="false" ht="15" hidden="false" customHeight="false" outlineLevel="0" collapsed="false">
      <c r="A32" s="5"/>
      <c r="B32" s="5"/>
      <c r="C32" s="5"/>
      <c r="D32" s="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52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22" t="s">
        <v>54</v>
      </c>
      <c r="B4" s="23"/>
      <c r="C4" s="23"/>
      <c r="D4" s="5"/>
      <c r="E4" s="5"/>
      <c r="F4" s="5"/>
      <c r="G4" s="5"/>
    </row>
    <row r="5" customFormat="false" ht="15" hidden="false" customHeight="false" outlineLevel="0" collapsed="false">
      <c r="A5" s="6" t="s">
        <v>3</v>
      </c>
      <c r="B5" s="21" t="n">
        <v>217.43</v>
      </c>
      <c r="C5" s="5"/>
      <c r="D5" s="5"/>
      <c r="E5" s="5"/>
      <c r="F5" s="5"/>
      <c r="G5" s="5"/>
    </row>
    <row r="6" customFormat="false" ht="15" hidden="false" customHeight="false" outlineLevel="0" collapsed="false">
      <c r="A6" s="6" t="s">
        <v>55</v>
      </c>
      <c r="B6" s="26" t="n">
        <v>24.1</v>
      </c>
      <c r="C6" s="5"/>
      <c r="D6" s="5"/>
      <c r="E6" s="5"/>
      <c r="F6" s="5"/>
      <c r="G6" s="5"/>
    </row>
    <row r="7" customFormat="false" ht="15" hidden="false" customHeight="false" outlineLevel="0" collapsed="false">
      <c r="A7" s="3" t="s">
        <v>56</v>
      </c>
      <c r="B7" s="24" t="n">
        <f aca="false">B5*B6</f>
        <v>5240.063</v>
      </c>
      <c r="C7" s="5"/>
      <c r="D7" s="5"/>
      <c r="E7" s="5"/>
      <c r="F7" s="5"/>
      <c r="G7" s="5"/>
    </row>
    <row r="8" customFormat="false" ht="15" hidden="false" customHeight="false" outlineLevel="0" collapsed="false">
      <c r="A8" s="6" t="s">
        <v>57</v>
      </c>
      <c r="B8" s="20" t="n">
        <v>-11</v>
      </c>
      <c r="C8" s="5"/>
      <c r="D8" s="5"/>
      <c r="E8" s="5"/>
      <c r="F8" s="5"/>
      <c r="G8" s="5"/>
    </row>
    <row r="9" customFormat="false" ht="15" hidden="false" customHeight="false" outlineLevel="0" collapsed="false">
      <c r="A9" s="6" t="s">
        <v>58</v>
      </c>
      <c r="B9" s="19" t="n">
        <v>0.18</v>
      </c>
      <c r="C9" s="5"/>
      <c r="D9" s="5"/>
      <c r="E9" s="5"/>
      <c r="F9" s="5"/>
      <c r="G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</row>
    <row r="11" customFormat="false" ht="15" hidden="false" customHeight="false" outlineLevel="0" collapsed="false">
      <c r="A11" s="22" t="s">
        <v>59</v>
      </c>
      <c r="B11" s="23"/>
      <c r="C11" s="23"/>
      <c r="D11" s="5"/>
      <c r="E11" s="5"/>
      <c r="F11" s="5"/>
      <c r="G11" s="5"/>
    </row>
    <row r="12" customFormat="false" ht="15" hidden="false" customHeight="false" outlineLevel="0" collapsed="false">
      <c r="A12" s="6" t="s">
        <v>60</v>
      </c>
      <c r="B12" s="27" t="n">
        <v>0.041</v>
      </c>
      <c r="C12" s="5"/>
      <c r="D12" s="5"/>
      <c r="E12" s="5"/>
      <c r="F12" s="5"/>
      <c r="G12" s="5"/>
    </row>
    <row r="13" customFormat="false" ht="15" hidden="false" customHeight="false" outlineLevel="0" collapsed="false">
      <c r="A13" s="6" t="s">
        <v>61</v>
      </c>
      <c r="B13" s="27" t="n">
        <v>0.055</v>
      </c>
      <c r="C13" s="5"/>
      <c r="D13" s="5"/>
      <c r="E13" s="5"/>
      <c r="F13" s="5"/>
      <c r="G13" s="5"/>
    </row>
    <row r="14" customFormat="false" ht="15" hidden="false" customHeight="false" outlineLevel="0" collapsed="false">
      <c r="A14" s="6" t="s">
        <v>62</v>
      </c>
      <c r="B14" s="26" t="n">
        <v>2.23</v>
      </c>
      <c r="C14" s="5"/>
      <c r="D14" s="5"/>
      <c r="E14" s="5"/>
      <c r="F14" s="5"/>
      <c r="G14" s="5"/>
    </row>
    <row r="15" customFormat="false" ht="15" hidden="false" customHeight="false" outlineLevel="0" collapsed="false">
      <c r="A15" s="3" t="s">
        <v>63</v>
      </c>
      <c r="B15" s="28" t="n">
        <f aca="false">B12+B14*B13</f>
        <v>0.16365</v>
      </c>
      <c r="C15" s="5"/>
      <c r="D15" s="5"/>
      <c r="E15" s="5"/>
      <c r="F15" s="5"/>
      <c r="G15" s="5"/>
    </row>
    <row r="16" customFormat="false" ht="15" hidden="false" customHeight="false" outlineLevel="0" collapsed="false">
      <c r="A16" s="3" t="s">
        <v>64</v>
      </c>
      <c r="B16" s="29" t="n">
        <f aca="false">B15</f>
        <v>0.16365</v>
      </c>
      <c r="C16" s="5"/>
      <c r="D16" s="5"/>
      <c r="E16" s="5"/>
      <c r="F16" s="5"/>
      <c r="G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</row>
    <row r="18" customFormat="false" ht="15" hidden="false" customHeight="false" outlineLevel="0" collapsed="false">
      <c r="A18" s="22" t="s">
        <v>65</v>
      </c>
      <c r="B18" s="23"/>
      <c r="C18" s="23"/>
      <c r="D18" s="5"/>
      <c r="E18" s="5"/>
      <c r="F18" s="5"/>
      <c r="G18" s="5"/>
    </row>
    <row r="19" customFormat="false" ht="15" hidden="false" customHeight="false" outlineLevel="0" collapsed="false">
      <c r="A19" s="6" t="s">
        <v>66</v>
      </c>
      <c r="B19" s="26" t="n">
        <v>1.6</v>
      </c>
      <c r="C19" s="5"/>
      <c r="D19" s="5"/>
      <c r="E19" s="5"/>
      <c r="F19" s="5"/>
      <c r="G19" s="5"/>
    </row>
    <row r="20" customFormat="false" ht="15" hidden="false" customHeight="false" outlineLevel="0" collapsed="false">
      <c r="A20" s="3" t="s">
        <v>67</v>
      </c>
      <c r="B20" s="30" t="n">
        <f aca="false">B12+B19*B13</f>
        <v>0.129</v>
      </c>
      <c r="C20" s="5"/>
      <c r="D20" s="5"/>
      <c r="E20" s="5"/>
      <c r="F20" s="5"/>
      <c r="G20" s="5"/>
    </row>
    <row r="21" customFormat="false" ht="15" hidden="false" customHeight="false" outlineLevel="0" collapsed="false">
      <c r="A21" s="3" t="s">
        <v>68</v>
      </c>
      <c r="B21" s="29" t="n">
        <f aca="false">B20</f>
        <v>0.129</v>
      </c>
      <c r="C21" s="5"/>
      <c r="D21" s="5"/>
      <c r="E21" s="5"/>
      <c r="F21" s="5"/>
      <c r="G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22" t="s">
        <v>69</v>
      </c>
      <c r="B23" s="23"/>
      <c r="C23" s="23"/>
      <c r="D23" s="23"/>
      <c r="E23" s="23"/>
      <c r="F23" s="23"/>
      <c r="G23" s="23"/>
    </row>
    <row r="24" customFormat="false" ht="15" hidden="false" customHeight="false" outlineLevel="0" collapsed="false">
      <c r="A24" s="9" t="s">
        <v>70</v>
      </c>
      <c r="B24" s="9" t="s">
        <v>71</v>
      </c>
      <c r="C24" s="9" t="s">
        <v>72</v>
      </c>
      <c r="D24" s="9" t="s">
        <v>73</v>
      </c>
      <c r="E24" s="9" t="s">
        <v>74</v>
      </c>
      <c r="F24" s="9" t="s">
        <v>75</v>
      </c>
      <c r="G24" s="9" t="s">
        <v>76</v>
      </c>
    </row>
    <row r="25" customFormat="false" ht="15" hidden="false" customHeight="false" outlineLevel="0" collapsed="false">
      <c r="A25" s="6" t="s">
        <v>77</v>
      </c>
      <c r="B25" s="19" t="n">
        <v>0.875</v>
      </c>
      <c r="C25" s="19" t="n">
        <v>0.7</v>
      </c>
      <c r="D25" s="19" t="n">
        <v>0.35</v>
      </c>
      <c r="E25" s="19" t="n">
        <v>0.2</v>
      </c>
      <c r="F25" s="19" t="n">
        <v>0.13</v>
      </c>
      <c r="G25" s="31" t="s">
        <v>78</v>
      </c>
    </row>
    <row r="26" customFormat="false" ht="15" hidden="false" customHeight="false" outlineLevel="0" collapsed="false">
      <c r="A26" s="6" t="s">
        <v>79</v>
      </c>
      <c r="B26" s="19" t="n">
        <v>0.875</v>
      </c>
      <c r="C26" s="19" t="n">
        <v>0.7</v>
      </c>
      <c r="D26" s="19" t="n">
        <v>0.45</v>
      </c>
      <c r="E26" s="19" t="n">
        <v>0.3</v>
      </c>
      <c r="F26" s="19" t="n">
        <v>0.2</v>
      </c>
      <c r="G26" s="31" t="s">
        <v>80</v>
      </c>
    </row>
    <row r="27" customFormat="false" ht="15" hidden="false" customHeight="false" outlineLevel="0" collapsed="false">
      <c r="A27" s="6" t="s">
        <v>81</v>
      </c>
      <c r="B27" s="19" t="n">
        <v>0.6</v>
      </c>
      <c r="C27" s="19" t="n">
        <v>0.61</v>
      </c>
      <c r="D27" s="19" t="n">
        <v>0.585</v>
      </c>
      <c r="E27" s="19" t="n">
        <v>0.57</v>
      </c>
      <c r="F27" s="19" t="n">
        <v>0.56</v>
      </c>
      <c r="G27" s="31" t="s">
        <v>82</v>
      </c>
    </row>
    <row r="28" customFormat="false" ht="15" hidden="false" customHeight="false" outlineLevel="0" collapsed="false">
      <c r="A28" s="6" t="s">
        <v>83</v>
      </c>
      <c r="B28" s="19" t="n">
        <v>0.025</v>
      </c>
      <c r="C28" s="19" t="n">
        <v>0.025</v>
      </c>
      <c r="D28" s="19" t="n">
        <v>0.025</v>
      </c>
      <c r="E28" s="19" t="n">
        <v>0.025</v>
      </c>
      <c r="F28" s="19" t="n">
        <v>0.025</v>
      </c>
      <c r="G28" s="5"/>
    </row>
    <row r="29" customFormat="false" ht="15" hidden="false" customHeight="false" outlineLevel="0" collapsed="false">
      <c r="A29" s="6" t="s">
        <v>84</v>
      </c>
      <c r="B29" s="19" t="n">
        <v>0.06</v>
      </c>
      <c r="C29" s="19" t="n">
        <v>0.065</v>
      </c>
      <c r="D29" s="19" t="n">
        <v>0.06</v>
      </c>
      <c r="E29" s="19" t="n">
        <v>0.055</v>
      </c>
      <c r="F29" s="19" t="n">
        <v>0.05</v>
      </c>
      <c r="G29" s="31" t="s">
        <v>85</v>
      </c>
    </row>
    <row r="30" customFormat="false" ht="15" hidden="false" customHeight="false" outlineLevel="0" collapsed="false">
      <c r="A30" s="6" t="s">
        <v>86</v>
      </c>
      <c r="B30" s="19" t="n">
        <v>0.02</v>
      </c>
      <c r="C30" s="19" t="n">
        <v>0.02</v>
      </c>
      <c r="D30" s="19" t="n">
        <v>0.02</v>
      </c>
      <c r="E30" s="19" t="n">
        <v>0.02</v>
      </c>
      <c r="F30" s="19" t="n">
        <v>0.02</v>
      </c>
      <c r="G30" s="5"/>
    </row>
    <row r="31" customFormat="false" ht="15" hidden="false" customHeight="false" outlineLevel="0" collapsed="false">
      <c r="A31" s="6" t="s">
        <v>87</v>
      </c>
      <c r="B31" s="27" t="n">
        <v>0.035</v>
      </c>
      <c r="C31" s="5"/>
      <c r="D31" s="5"/>
      <c r="E31" s="5"/>
      <c r="F31" s="5"/>
      <c r="G31" s="5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88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89</v>
      </c>
    </row>
    <row r="4" customFormat="false" ht="15" hidden="false" customHeight="false" outlineLevel="0" collapsed="false">
      <c r="A4" s="22" t="s">
        <v>90</v>
      </c>
      <c r="B4" s="23"/>
      <c r="C4" s="23"/>
      <c r="D4" s="23"/>
      <c r="E4" s="23"/>
      <c r="F4" s="23"/>
      <c r="G4" s="23"/>
    </row>
    <row r="5" customFormat="false" ht="15" hidden="false" customHeight="false" outlineLevel="0" collapsed="false">
      <c r="A5" s="9" t="s">
        <v>25</v>
      </c>
      <c r="B5" s="9" t="s">
        <v>28</v>
      </c>
      <c r="C5" s="9" t="s">
        <v>71</v>
      </c>
      <c r="D5" s="9" t="s">
        <v>72</v>
      </c>
      <c r="E5" s="9" t="s">
        <v>73</v>
      </c>
      <c r="F5" s="9" t="s">
        <v>74</v>
      </c>
      <c r="G5" s="9" t="s">
        <v>75</v>
      </c>
    </row>
    <row r="6" customFormat="false" ht="15" hidden="false" customHeight="false" outlineLevel="0" collapsed="false">
      <c r="A6" s="6" t="s">
        <v>91</v>
      </c>
      <c r="B6" s="5" t="s">
        <v>31</v>
      </c>
      <c r="C6" s="32" t="n">
        <f aca="false">'Assumptions &amp; WACC'!B25</f>
        <v>0.875</v>
      </c>
      <c r="D6" s="32" t="n">
        <f aca="false">'Assumptions &amp; WACC'!C25</f>
        <v>0.7</v>
      </c>
      <c r="E6" s="32" t="n">
        <f aca="false">'Assumptions &amp; WACC'!D25</f>
        <v>0.35</v>
      </c>
      <c r="F6" s="32" t="n">
        <f aca="false">'Assumptions &amp; WACC'!E25</f>
        <v>0.2</v>
      </c>
      <c r="G6" s="32" t="n">
        <f aca="false">'Assumptions &amp; WACC'!F25</f>
        <v>0.13</v>
      </c>
    </row>
    <row r="7" customFormat="false" ht="15" hidden="false" customHeight="false" outlineLevel="0" collapsed="false">
      <c r="A7" s="3" t="s">
        <v>48</v>
      </c>
      <c r="B7" s="7" t="n">
        <f aca="false">Historicals!D5</f>
        <v>215.9</v>
      </c>
      <c r="C7" s="24" t="n">
        <f aca="false">B7*(1+C6)</f>
        <v>404.8125</v>
      </c>
      <c r="D7" s="24" t="n">
        <f aca="false">C7*(1+D6)</f>
        <v>688.18125</v>
      </c>
      <c r="E7" s="24" t="n">
        <f aca="false">D7*(1+E6)</f>
        <v>929.0446875</v>
      </c>
      <c r="F7" s="24" t="n">
        <f aca="false">E7*(1+F6)</f>
        <v>1114.853625</v>
      </c>
      <c r="G7" s="24" t="n">
        <f aca="false">F7*(1+G6)</f>
        <v>1259.78459625</v>
      </c>
    </row>
    <row r="8" customFormat="false" ht="15" hidden="false" customHeight="false" outlineLevel="0" collapsed="false">
      <c r="A8" s="6" t="s">
        <v>81</v>
      </c>
      <c r="B8" s="5"/>
      <c r="C8" s="32" t="n">
        <f aca="false">'Assumptions &amp; WACC'!B27</f>
        <v>0.6</v>
      </c>
      <c r="D8" s="32" t="n">
        <f aca="false">'Assumptions &amp; WACC'!C27</f>
        <v>0.61</v>
      </c>
      <c r="E8" s="32" t="n">
        <f aca="false">'Assumptions &amp; WACC'!D27</f>
        <v>0.585</v>
      </c>
      <c r="F8" s="32" t="n">
        <f aca="false">'Assumptions &amp; WACC'!E27</f>
        <v>0.57</v>
      </c>
      <c r="G8" s="32" t="n">
        <f aca="false">'Assumptions &amp; WACC'!F27</f>
        <v>0.56</v>
      </c>
    </row>
    <row r="9" customFormat="false" ht="15" hidden="false" customHeight="false" outlineLevel="0" collapsed="false">
      <c r="A9" s="6" t="s">
        <v>92</v>
      </c>
      <c r="B9" s="5"/>
      <c r="C9" s="33" t="n">
        <f aca="false">C7*C8</f>
        <v>242.8875</v>
      </c>
      <c r="D9" s="33" t="n">
        <f aca="false">D7*D8</f>
        <v>419.7905625</v>
      </c>
      <c r="E9" s="33" t="n">
        <f aca="false">E7*E8</f>
        <v>543.4911421875</v>
      </c>
      <c r="F9" s="33" t="n">
        <f aca="false">F7*F8</f>
        <v>635.46656625</v>
      </c>
      <c r="G9" s="33" t="n">
        <f aca="false">G7*G8</f>
        <v>705.4793739</v>
      </c>
    </row>
    <row r="10" customFormat="false" ht="15" hidden="false" customHeight="false" outlineLevel="0" collapsed="false">
      <c r="A10" s="6" t="s">
        <v>93</v>
      </c>
      <c r="B10" s="5"/>
      <c r="C10" s="33" t="n">
        <f aca="false">C9*(1-'Assumptions &amp; WACC'!$B$9)</f>
        <v>199.16775</v>
      </c>
      <c r="D10" s="33" t="n">
        <f aca="false">D9*(1-'Assumptions &amp; WACC'!$B$9)</f>
        <v>344.22826125</v>
      </c>
      <c r="E10" s="33" t="n">
        <f aca="false">E9*(1-'Assumptions &amp; WACC'!$B$9)</f>
        <v>445.66273659375</v>
      </c>
      <c r="F10" s="33" t="n">
        <f aca="false">F9*(1-'Assumptions &amp; WACC'!$B$9)</f>
        <v>521.082584325</v>
      </c>
      <c r="G10" s="33" t="n">
        <f aca="false">G9*(1-'Assumptions &amp; WACC'!$B$9)</f>
        <v>578.493086598</v>
      </c>
    </row>
    <row r="11" customFormat="false" ht="15" hidden="false" customHeight="false" outlineLevel="0" collapsed="false">
      <c r="A11" s="6" t="s">
        <v>94</v>
      </c>
      <c r="B11" s="5"/>
      <c r="C11" s="33" t="n">
        <f aca="false">C7*'Assumptions &amp; WACC'!B28</f>
        <v>10.1203125</v>
      </c>
      <c r="D11" s="33" t="n">
        <f aca="false">D7*'Assumptions &amp; WACC'!C28</f>
        <v>17.20453125</v>
      </c>
      <c r="E11" s="33" t="n">
        <f aca="false">E7*'Assumptions &amp; WACC'!D28</f>
        <v>23.2261171875</v>
      </c>
      <c r="F11" s="33" t="n">
        <f aca="false">F7*'Assumptions &amp; WACC'!E28</f>
        <v>27.871340625</v>
      </c>
      <c r="G11" s="33" t="n">
        <f aca="false">G7*'Assumptions &amp; WACC'!F28</f>
        <v>31.49461490625</v>
      </c>
    </row>
    <row r="12" customFormat="false" ht="15" hidden="false" customHeight="false" outlineLevel="0" collapsed="false">
      <c r="A12" s="6" t="s">
        <v>95</v>
      </c>
      <c r="B12" s="5"/>
      <c r="C12" s="33" t="n">
        <f aca="false">C7*'Assumptions &amp; WACC'!B29</f>
        <v>24.28875</v>
      </c>
      <c r="D12" s="33" t="n">
        <f aca="false">D7*'Assumptions &amp; WACC'!C29</f>
        <v>44.73178125</v>
      </c>
      <c r="E12" s="33" t="n">
        <f aca="false">E7*'Assumptions &amp; WACC'!D29</f>
        <v>55.74268125</v>
      </c>
      <c r="F12" s="33" t="n">
        <f aca="false">F7*'Assumptions &amp; WACC'!E29</f>
        <v>61.316949375</v>
      </c>
      <c r="G12" s="33" t="n">
        <f aca="false">G7*'Assumptions &amp; WACC'!F29</f>
        <v>62.9892298125</v>
      </c>
    </row>
    <row r="13" customFormat="false" ht="15" hidden="false" customHeight="false" outlineLevel="0" collapsed="false">
      <c r="A13" s="6" t="s">
        <v>96</v>
      </c>
      <c r="B13" s="5"/>
      <c r="C13" s="33" t="n">
        <f aca="false">(C7-B7)*'Assumptions &amp; WACC'!B30</f>
        <v>3.77825</v>
      </c>
      <c r="D13" s="33" t="n">
        <f aca="false">(D7-C7)*'Assumptions &amp; WACC'!C30</f>
        <v>5.667375</v>
      </c>
      <c r="E13" s="33" t="n">
        <f aca="false">(E7-D7)*'Assumptions &amp; WACC'!D30</f>
        <v>4.81726875</v>
      </c>
      <c r="F13" s="33" t="n">
        <f aca="false">(F7-E7)*'Assumptions &amp; WACC'!E30</f>
        <v>3.71617875</v>
      </c>
      <c r="G13" s="33" t="n">
        <f aca="false">(G7-F7)*'Assumptions &amp; WACC'!F30</f>
        <v>2.898619425</v>
      </c>
    </row>
    <row r="14" customFormat="false" ht="15" hidden="false" customHeight="false" outlineLevel="0" collapsed="false">
      <c r="A14" s="3" t="s">
        <v>97</v>
      </c>
      <c r="B14" s="5"/>
      <c r="C14" s="24" t="n">
        <f aca="false">C10+C11-C12-C13</f>
        <v>181.2210625</v>
      </c>
      <c r="D14" s="24" t="n">
        <f aca="false">D10+D11-D12-D13</f>
        <v>311.03363625</v>
      </c>
      <c r="E14" s="24" t="n">
        <f aca="false">E10+E11-E12-E13</f>
        <v>408.32890378125</v>
      </c>
      <c r="F14" s="24" t="n">
        <f aca="false">F10+F11-F12-F13</f>
        <v>483.920796825</v>
      </c>
      <c r="G14" s="24" t="n">
        <f aca="false">G10+G11-G12-G13</f>
        <v>544.09985226675</v>
      </c>
    </row>
    <row r="15" customFormat="false" ht="15" hidden="false" customHeight="false" outlineLevel="0" collapsed="false">
      <c r="A15" s="6" t="s">
        <v>98</v>
      </c>
      <c r="B15" s="5"/>
      <c r="C15" s="34" t="n">
        <v>1</v>
      </c>
      <c r="D15" s="34" t="n">
        <v>2</v>
      </c>
      <c r="E15" s="34" t="n">
        <v>3</v>
      </c>
      <c r="F15" s="34" t="n">
        <v>4</v>
      </c>
      <c r="G15" s="34" t="n">
        <v>5</v>
      </c>
    </row>
    <row r="16" customFormat="false" ht="15" hidden="false" customHeight="false" outlineLevel="0" collapsed="false">
      <c r="A16" s="6" t="s">
        <v>99</v>
      </c>
      <c r="B16" s="5"/>
      <c r="C16" s="35" t="n">
        <f aca="false">1/(1+'Assumptions &amp; WACC'!$B$16)^C15</f>
        <v>0.859364929317235</v>
      </c>
      <c r="D16" s="35" t="n">
        <f aca="false">1/(1+'Assumptions &amp; WACC'!$B$16)^D15</f>
        <v>0.738508081740416</v>
      </c>
      <c r="E16" s="35" t="n">
        <f aca="false">1/(1+'Assumptions &amp; WACC'!$B$16)^E15</f>
        <v>0.634647945465059</v>
      </c>
      <c r="F16" s="35" t="n">
        <f aca="false">1/(1+'Assumptions &amp; WACC'!$B$16)^F15</f>
        <v>0.545394186795908</v>
      </c>
      <c r="G16" s="35" t="n">
        <f aca="false">1/(1+'Assumptions &amp; WACC'!$B$16)^G15</f>
        <v>0.468692636785896</v>
      </c>
    </row>
    <row r="17" customFormat="false" ht="15" hidden="false" customHeight="false" outlineLevel="0" collapsed="false">
      <c r="A17" s="3" t="s">
        <v>100</v>
      </c>
      <c r="B17" s="5"/>
      <c r="C17" s="24" t="n">
        <f aca="false">C14*C16</f>
        <v>155.735025566107</v>
      </c>
      <c r="D17" s="24" t="n">
        <f aca="false">D14*D16</f>
        <v>229.700854063734</v>
      </c>
      <c r="E17" s="24" t="n">
        <f aca="false">E14*E16</f>
        <v>259.14509985877</v>
      </c>
      <c r="F17" s="24" t="n">
        <f aca="false">F14*F16</f>
        <v>263.927589457999</v>
      </c>
      <c r="G17" s="24" t="n">
        <f aca="false">G14*G16</f>
        <v>255.01559443372</v>
      </c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</row>
    <row r="19" customFormat="false" ht="15" hidden="false" customHeight="false" outlineLevel="0" collapsed="false">
      <c r="A19" s="6" t="s">
        <v>87</v>
      </c>
      <c r="B19" s="8" t="n">
        <f aca="false">'Assumptions &amp; WACC'!B31</f>
        <v>0.035</v>
      </c>
      <c r="C19" s="5"/>
      <c r="D19" s="5"/>
      <c r="E19" s="5"/>
      <c r="F19" s="5"/>
      <c r="G19" s="5"/>
    </row>
    <row r="20" customFormat="false" ht="15" hidden="false" customHeight="false" outlineLevel="0" collapsed="false">
      <c r="A20" s="6" t="s">
        <v>101</v>
      </c>
      <c r="B20" s="33" t="n">
        <f aca="false">G14*(1+B19)/('Assumptions &amp; WACC'!$B$16-B19)</f>
        <v>4377.32877649504</v>
      </c>
      <c r="C20" s="5"/>
      <c r="D20" s="5"/>
      <c r="E20" s="5"/>
      <c r="F20" s="5"/>
      <c r="G20" s="5"/>
    </row>
    <row r="21" customFormat="false" ht="15" hidden="false" customHeight="false" outlineLevel="0" collapsed="false">
      <c r="A21" s="6" t="s">
        <v>102</v>
      </c>
      <c r="B21" s="33" t="n">
        <f aca="false">B20*G16</f>
        <v>2051.62176633424</v>
      </c>
      <c r="C21" s="5"/>
      <c r="D21" s="5"/>
      <c r="E21" s="5"/>
      <c r="F21" s="5"/>
      <c r="G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</row>
    <row r="23" customFormat="false" ht="15" hidden="false" customHeight="false" outlineLevel="0" collapsed="false">
      <c r="A23" s="6" t="s">
        <v>103</v>
      </c>
      <c r="B23" s="33" t="n">
        <f aca="false">SUM(C17:G17)</f>
        <v>1163.52416338033</v>
      </c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104</v>
      </c>
      <c r="B24" s="33" t="n">
        <f aca="false">B21</f>
        <v>2051.62176633424</v>
      </c>
      <c r="C24" s="5"/>
      <c r="D24" s="5"/>
      <c r="E24" s="5"/>
      <c r="F24" s="5"/>
      <c r="G24" s="5"/>
    </row>
    <row r="25" customFormat="false" ht="15" hidden="false" customHeight="false" outlineLevel="0" collapsed="false">
      <c r="A25" s="3" t="s">
        <v>105</v>
      </c>
      <c r="B25" s="24" t="n">
        <f aca="false">B23+B21</f>
        <v>3215.14592971457</v>
      </c>
      <c r="C25" s="5"/>
      <c r="D25" s="5"/>
      <c r="E25" s="5"/>
      <c r="F25" s="5"/>
      <c r="G25" s="5"/>
    </row>
    <row r="26" customFormat="false" ht="15" hidden="false" customHeight="false" outlineLevel="0" collapsed="false">
      <c r="A26" s="6" t="s">
        <v>106</v>
      </c>
      <c r="B26" s="7" t="n">
        <f aca="false">'Assumptions &amp; WACC'!B8</f>
        <v>-11</v>
      </c>
      <c r="C26" s="5"/>
      <c r="D26" s="5"/>
      <c r="E26" s="5"/>
      <c r="F26" s="5"/>
      <c r="G26" s="5"/>
    </row>
    <row r="27" customFormat="false" ht="15" hidden="false" customHeight="false" outlineLevel="0" collapsed="false">
      <c r="A27" s="3" t="s">
        <v>107</v>
      </c>
      <c r="B27" s="24" t="n">
        <f aca="false">B25+B26</f>
        <v>3204.14592971457</v>
      </c>
      <c r="C27" s="5"/>
      <c r="D27" s="5"/>
      <c r="E27" s="5"/>
      <c r="F27" s="5"/>
      <c r="G27" s="5"/>
    </row>
    <row r="28" customFormat="false" ht="15" hidden="false" customHeight="false" outlineLevel="0" collapsed="false">
      <c r="A28" s="6" t="s">
        <v>55</v>
      </c>
      <c r="B28" s="36" t="n">
        <f aca="false">'Assumptions &amp; WACC'!B6</f>
        <v>24.1</v>
      </c>
      <c r="C28" s="5"/>
      <c r="D28" s="5"/>
      <c r="E28" s="5"/>
      <c r="F28" s="5"/>
      <c r="G28" s="5"/>
    </row>
    <row r="29" customFormat="false" ht="15" hidden="false" customHeight="false" outlineLevel="0" collapsed="false">
      <c r="A29" s="3" t="s">
        <v>108</v>
      </c>
      <c r="B29" s="11" t="n">
        <f aca="false">B27/B28</f>
        <v>132.952113266165</v>
      </c>
      <c r="C29" s="5"/>
      <c r="D29" s="5"/>
      <c r="E29" s="5"/>
      <c r="F29" s="5"/>
      <c r="G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</row>
    <row r="31" customFormat="false" ht="15" hidden="false" customHeight="false" outlineLevel="0" collapsed="false">
      <c r="A31" s="22" t="s">
        <v>109</v>
      </c>
      <c r="B31" s="23"/>
      <c r="C31" s="23"/>
      <c r="D31" s="23"/>
      <c r="E31" s="23"/>
      <c r="F31" s="23"/>
      <c r="G31" s="23"/>
    </row>
    <row r="32" customFormat="false" ht="15" hidden="false" customHeight="false" outlineLevel="0" collapsed="false">
      <c r="A32" s="9" t="s">
        <v>25</v>
      </c>
      <c r="B32" s="9" t="s">
        <v>28</v>
      </c>
      <c r="C32" s="9" t="s">
        <v>71</v>
      </c>
      <c r="D32" s="9" t="s">
        <v>72</v>
      </c>
      <c r="E32" s="9" t="s">
        <v>73</v>
      </c>
      <c r="F32" s="9" t="s">
        <v>74</v>
      </c>
      <c r="G32" s="9" t="s">
        <v>75</v>
      </c>
    </row>
    <row r="33" customFormat="false" ht="15" hidden="false" customHeight="false" outlineLevel="0" collapsed="false">
      <c r="A33" s="6" t="s">
        <v>91</v>
      </c>
      <c r="B33" s="5" t="s">
        <v>31</v>
      </c>
      <c r="C33" s="32" t="n">
        <f aca="false">'Assumptions &amp; WACC'!B26</f>
        <v>0.875</v>
      </c>
      <c r="D33" s="32" t="n">
        <f aca="false">'Assumptions &amp; WACC'!C26</f>
        <v>0.7</v>
      </c>
      <c r="E33" s="32" t="n">
        <f aca="false">'Assumptions &amp; WACC'!D26</f>
        <v>0.45</v>
      </c>
      <c r="F33" s="32" t="n">
        <f aca="false">'Assumptions &amp; WACC'!E26</f>
        <v>0.3</v>
      </c>
      <c r="G33" s="32" t="n">
        <f aca="false">'Assumptions &amp; WACC'!F26</f>
        <v>0.2</v>
      </c>
    </row>
    <row r="34" customFormat="false" ht="15" hidden="false" customHeight="false" outlineLevel="0" collapsed="false">
      <c r="A34" s="3" t="s">
        <v>48</v>
      </c>
      <c r="B34" s="7" t="n">
        <f aca="false">Historicals!D5</f>
        <v>215.9</v>
      </c>
      <c r="C34" s="24" t="n">
        <f aca="false">B34*(1+C33)</f>
        <v>404.8125</v>
      </c>
      <c r="D34" s="24" t="n">
        <f aca="false">C34*(1+D33)</f>
        <v>688.18125</v>
      </c>
      <c r="E34" s="24" t="n">
        <f aca="false">D34*(1+E33)</f>
        <v>997.8628125</v>
      </c>
      <c r="F34" s="24" t="n">
        <f aca="false">E34*(1+F33)</f>
        <v>1297.22165625</v>
      </c>
      <c r="G34" s="24" t="n">
        <f aca="false">F34*(1+G33)</f>
        <v>1556.6659875</v>
      </c>
    </row>
    <row r="35" customFormat="false" ht="15" hidden="false" customHeight="false" outlineLevel="0" collapsed="false">
      <c r="A35" s="6" t="s">
        <v>81</v>
      </c>
      <c r="B35" s="5"/>
      <c r="C35" s="32" t="n">
        <f aca="false">'Assumptions &amp; WACC'!B27</f>
        <v>0.6</v>
      </c>
      <c r="D35" s="32" t="n">
        <f aca="false">'Assumptions &amp; WACC'!C27</f>
        <v>0.61</v>
      </c>
      <c r="E35" s="32" t="n">
        <f aca="false">'Assumptions &amp; WACC'!D27</f>
        <v>0.585</v>
      </c>
      <c r="F35" s="32" t="n">
        <f aca="false">'Assumptions &amp; WACC'!E27</f>
        <v>0.57</v>
      </c>
      <c r="G35" s="32" t="n">
        <f aca="false">'Assumptions &amp; WACC'!F27</f>
        <v>0.56</v>
      </c>
    </row>
    <row r="36" customFormat="false" ht="15" hidden="false" customHeight="false" outlineLevel="0" collapsed="false">
      <c r="A36" s="6" t="s">
        <v>92</v>
      </c>
      <c r="B36" s="5"/>
      <c r="C36" s="33" t="n">
        <f aca="false">C34*C35</f>
        <v>242.8875</v>
      </c>
      <c r="D36" s="33" t="n">
        <f aca="false">D34*D35</f>
        <v>419.7905625</v>
      </c>
      <c r="E36" s="33" t="n">
        <f aca="false">E34*E35</f>
        <v>583.7497453125</v>
      </c>
      <c r="F36" s="33" t="n">
        <f aca="false">F34*F35</f>
        <v>739.4163440625</v>
      </c>
      <c r="G36" s="33" t="n">
        <f aca="false">G34*G35</f>
        <v>871.732953</v>
      </c>
    </row>
    <row r="37" customFormat="false" ht="15" hidden="false" customHeight="false" outlineLevel="0" collapsed="false">
      <c r="A37" s="6" t="s">
        <v>93</v>
      </c>
      <c r="B37" s="5"/>
      <c r="C37" s="33" t="n">
        <f aca="false">C36*(1-'Assumptions &amp; WACC'!$B$9)</f>
        <v>199.16775</v>
      </c>
      <c r="D37" s="33" t="n">
        <f aca="false">D36*(1-'Assumptions &amp; WACC'!$B$9)</f>
        <v>344.22826125</v>
      </c>
      <c r="E37" s="33" t="n">
        <f aca="false">E36*(1-'Assumptions &amp; WACC'!$B$9)</f>
        <v>478.67479115625</v>
      </c>
      <c r="F37" s="33" t="n">
        <f aca="false">F36*(1-'Assumptions &amp; WACC'!$B$9)</f>
        <v>606.32140213125</v>
      </c>
      <c r="G37" s="33" t="n">
        <f aca="false">G36*(1-'Assumptions &amp; WACC'!$B$9)</f>
        <v>714.82102146</v>
      </c>
    </row>
    <row r="38" customFormat="false" ht="15" hidden="false" customHeight="false" outlineLevel="0" collapsed="false">
      <c r="A38" s="6" t="s">
        <v>94</v>
      </c>
      <c r="B38" s="5"/>
      <c r="C38" s="33" t="n">
        <f aca="false">C34*'Assumptions &amp; WACC'!B28</f>
        <v>10.1203125</v>
      </c>
      <c r="D38" s="33" t="n">
        <f aca="false">D34*'Assumptions &amp; WACC'!C28</f>
        <v>17.20453125</v>
      </c>
      <c r="E38" s="33" t="n">
        <f aca="false">E34*'Assumptions &amp; WACC'!D28</f>
        <v>24.9465703125</v>
      </c>
      <c r="F38" s="33" t="n">
        <f aca="false">F34*'Assumptions &amp; WACC'!E28</f>
        <v>32.43054140625</v>
      </c>
      <c r="G38" s="33" t="n">
        <f aca="false">G34*'Assumptions &amp; WACC'!F28</f>
        <v>38.9166496875</v>
      </c>
    </row>
    <row r="39" customFormat="false" ht="15" hidden="false" customHeight="false" outlineLevel="0" collapsed="false">
      <c r="A39" s="6" t="s">
        <v>95</v>
      </c>
      <c r="B39" s="5"/>
      <c r="C39" s="33" t="n">
        <f aca="false">C34*'Assumptions &amp; WACC'!B29</f>
        <v>24.28875</v>
      </c>
      <c r="D39" s="33" t="n">
        <f aca="false">D34*'Assumptions &amp; WACC'!C29</f>
        <v>44.73178125</v>
      </c>
      <c r="E39" s="33" t="n">
        <f aca="false">E34*'Assumptions &amp; WACC'!D29</f>
        <v>59.87176875</v>
      </c>
      <c r="F39" s="33" t="n">
        <f aca="false">F34*'Assumptions &amp; WACC'!E29</f>
        <v>71.34719109375</v>
      </c>
      <c r="G39" s="33" t="n">
        <f aca="false">G34*'Assumptions &amp; WACC'!F29</f>
        <v>77.833299375</v>
      </c>
    </row>
    <row r="40" customFormat="false" ht="15" hidden="false" customHeight="false" outlineLevel="0" collapsed="false">
      <c r="A40" s="6" t="s">
        <v>96</v>
      </c>
      <c r="B40" s="5"/>
      <c r="C40" s="33" t="n">
        <f aca="false">(C34-B34)*'Assumptions &amp; WACC'!B30</f>
        <v>3.77825</v>
      </c>
      <c r="D40" s="33" t="n">
        <f aca="false">(D34-C34)*'Assumptions &amp; WACC'!C30</f>
        <v>5.667375</v>
      </c>
      <c r="E40" s="33" t="n">
        <f aca="false">(E34-D34)*'Assumptions &amp; WACC'!D30</f>
        <v>6.19363125</v>
      </c>
      <c r="F40" s="33" t="n">
        <f aca="false">(F34-E34)*'Assumptions &amp; WACC'!E30</f>
        <v>5.987176875</v>
      </c>
      <c r="G40" s="33" t="n">
        <f aca="false">(G34-F34)*'Assumptions &amp; WACC'!F30</f>
        <v>5.188886625</v>
      </c>
    </row>
    <row r="41" customFormat="false" ht="15" hidden="false" customHeight="false" outlineLevel="0" collapsed="false">
      <c r="A41" s="3" t="s">
        <v>97</v>
      </c>
      <c r="B41" s="5"/>
      <c r="C41" s="24" t="n">
        <f aca="false">C37+C38-C39-C40</f>
        <v>181.2210625</v>
      </c>
      <c r="D41" s="24" t="n">
        <f aca="false">D37+D38-D39-D40</f>
        <v>311.03363625</v>
      </c>
      <c r="E41" s="24" t="n">
        <f aca="false">E37+E38-E39-E40</f>
        <v>437.55596146875</v>
      </c>
      <c r="F41" s="24" t="n">
        <f aca="false">F37+F38-F39-F40</f>
        <v>561.41757556875</v>
      </c>
      <c r="G41" s="24" t="n">
        <f aca="false">G37+G38-G39-G40</f>
        <v>670.7154851475</v>
      </c>
    </row>
    <row r="42" customFormat="false" ht="15" hidden="false" customHeight="false" outlineLevel="0" collapsed="false">
      <c r="A42" s="6" t="s">
        <v>98</v>
      </c>
      <c r="B42" s="5"/>
      <c r="C42" s="34" t="n">
        <v>1</v>
      </c>
      <c r="D42" s="34" t="n">
        <v>2</v>
      </c>
      <c r="E42" s="34" t="n">
        <v>3</v>
      </c>
      <c r="F42" s="34" t="n">
        <v>4</v>
      </c>
      <c r="G42" s="34" t="n">
        <v>5</v>
      </c>
    </row>
    <row r="43" customFormat="false" ht="15" hidden="false" customHeight="false" outlineLevel="0" collapsed="false">
      <c r="A43" s="6" t="s">
        <v>99</v>
      </c>
      <c r="B43" s="5"/>
      <c r="C43" s="35" t="n">
        <f aca="false">1/(1+'Assumptions &amp; WACC'!$B$21)^C42</f>
        <v>0.885739592559787</v>
      </c>
      <c r="D43" s="35" t="n">
        <f aca="false">1/(1+'Assumptions &amp; WACC'!$B$21)^D42</f>
        <v>0.784534625827978</v>
      </c>
      <c r="E43" s="35" t="n">
        <f aca="false">1/(1+'Assumptions &amp; WACC'!$B$21)^E42</f>
        <v>0.694893379829919</v>
      </c>
      <c r="F43" s="35" t="n">
        <f aca="false">1/(1+'Assumptions &amp; WACC'!$B$21)^F42</f>
        <v>0.615494579123046</v>
      </c>
      <c r="G43" s="35" t="n">
        <f aca="false">1/(1+'Assumptions &amp; WACC'!$B$21)^G42</f>
        <v>0.545167917735204</v>
      </c>
    </row>
    <row r="44" customFormat="false" ht="15" hidden="false" customHeight="false" outlineLevel="0" collapsed="false">
      <c r="A44" s="3" t="s">
        <v>100</v>
      </c>
      <c r="B44" s="5"/>
      <c r="C44" s="24" t="n">
        <f aca="false">C41*C43</f>
        <v>160.514670062002</v>
      </c>
      <c r="D44" s="24" t="n">
        <f aca="false">D41*D43</f>
        <v>244.016657435309</v>
      </c>
      <c r="E44" s="24" t="n">
        <f aca="false">E41*E43</f>
        <v>304.054740929749</v>
      </c>
      <c r="F44" s="24" t="n">
        <f aca="false">F41*F43</f>
        <v>345.549474386969</v>
      </c>
      <c r="G44" s="24" t="n">
        <f aca="false">G41*G43</f>
        <v>365.65256443062</v>
      </c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</row>
    <row r="46" customFormat="false" ht="15" hidden="false" customHeight="false" outlineLevel="0" collapsed="false">
      <c r="A46" s="6" t="s">
        <v>87</v>
      </c>
      <c r="B46" s="8" t="n">
        <f aca="false">'Assumptions &amp; WACC'!B31</f>
        <v>0.035</v>
      </c>
      <c r="C46" s="5"/>
      <c r="D46" s="5"/>
      <c r="E46" s="5"/>
      <c r="F46" s="5"/>
      <c r="G46" s="5"/>
    </row>
    <row r="47" customFormat="false" ht="15" hidden="false" customHeight="false" outlineLevel="0" collapsed="false">
      <c r="A47" s="6" t="s">
        <v>101</v>
      </c>
      <c r="B47" s="33" t="n">
        <f aca="false">G41*(1+B46)/('Assumptions &amp; WACC'!$B$21-B46)</f>
        <v>7385.00560774109</v>
      </c>
      <c r="C47" s="5"/>
      <c r="D47" s="5"/>
      <c r="E47" s="5"/>
      <c r="F47" s="5"/>
      <c r="G47" s="5"/>
    </row>
    <row r="48" customFormat="false" ht="15" hidden="false" customHeight="false" outlineLevel="0" collapsed="false">
      <c r="A48" s="6" t="s">
        <v>102</v>
      </c>
      <c r="B48" s="33" t="n">
        <f aca="false">B47*G43</f>
        <v>4026.06812963502</v>
      </c>
      <c r="C48" s="5"/>
      <c r="D48" s="5"/>
      <c r="E48" s="5"/>
      <c r="F48" s="5"/>
      <c r="G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</row>
    <row r="50" customFormat="false" ht="15" hidden="false" customHeight="false" outlineLevel="0" collapsed="false">
      <c r="A50" s="6" t="s">
        <v>103</v>
      </c>
      <c r="B50" s="33" t="n">
        <f aca="false">SUM(C44:G44)</f>
        <v>1419.78810724465</v>
      </c>
      <c r="C50" s="5"/>
      <c r="D50" s="5"/>
      <c r="E50" s="5"/>
      <c r="F50" s="5"/>
      <c r="G50" s="5"/>
    </row>
    <row r="51" customFormat="false" ht="15" hidden="false" customHeight="false" outlineLevel="0" collapsed="false">
      <c r="A51" s="6" t="s">
        <v>104</v>
      </c>
      <c r="B51" s="33" t="n">
        <f aca="false">B48</f>
        <v>4026.06812963502</v>
      </c>
      <c r="C51" s="5"/>
      <c r="D51" s="5"/>
      <c r="E51" s="5"/>
      <c r="F51" s="5"/>
      <c r="G51" s="5"/>
    </row>
    <row r="52" customFormat="false" ht="15" hidden="false" customHeight="false" outlineLevel="0" collapsed="false">
      <c r="A52" s="3" t="s">
        <v>105</v>
      </c>
      <c r="B52" s="24" t="n">
        <f aca="false">B50+B48</f>
        <v>5445.85623687967</v>
      </c>
      <c r="C52" s="5"/>
      <c r="D52" s="5"/>
      <c r="E52" s="5"/>
      <c r="F52" s="5"/>
      <c r="G52" s="5"/>
    </row>
    <row r="53" customFormat="false" ht="15" hidden="false" customHeight="false" outlineLevel="0" collapsed="false">
      <c r="A53" s="6" t="s">
        <v>106</v>
      </c>
      <c r="B53" s="7" t="n">
        <f aca="false">'Assumptions &amp; WACC'!B8</f>
        <v>-11</v>
      </c>
      <c r="C53" s="5"/>
      <c r="D53" s="5"/>
      <c r="E53" s="5"/>
      <c r="F53" s="5"/>
      <c r="G53" s="5"/>
    </row>
    <row r="54" customFormat="false" ht="15" hidden="false" customHeight="false" outlineLevel="0" collapsed="false">
      <c r="A54" s="3" t="s">
        <v>107</v>
      </c>
      <c r="B54" s="24" t="n">
        <f aca="false">B52+B53</f>
        <v>5434.85623687967</v>
      </c>
      <c r="C54" s="5"/>
      <c r="D54" s="5"/>
      <c r="E54" s="5"/>
      <c r="F54" s="5"/>
      <c r="G54" s="5"/>
    </row>
    <row r="55" customFormat="false" ht="15" hidden="false" customHeight="false" outlineLevel="0" collapsed="false">
      <c r="A55" s="6" t="s">
        <v>55</v>
      </c>
      <c r="B55" s="36" t="n">
        <f aca="false">'Assumptions &amp; WACC'!B6</f>
        <v>24.1</v>
      </c>
      <c r="C55" s="5"/>
      <c r="D55" s="5"/>
      <c r="E55" s="5"/>
      <c r="F55" s="5"/>
      <c r="G55" s="5"/>
    </row>
    <row r="56" customFormat="false" ht="15" hidden="false" customHeight="false" outlineLevel="0" collapsed="false">
      <c r="A56" s="3" t="s">
        <v>108</v>
      </c>
      <c r="B56" s="11" t="n">
        <f aca="false">B54/B55</f>
        <v>225.512706924467</v>
      </c>
      <c r="C56" s="5"/>
      <c r="D56" s="5"/>
      <c r="E56" s="5"/>
      <c r="F56" s="5"/>
      <c r="G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</row>
    <row r="58" customFormat="false" ht="15" hidden="false" customHeight="false" outlineLevel="0" collapsed="false">
      <c r="A58" s="3" t="s">
        <v>110</v>
      </c>
      <c r="B58" s="5"/>
      <c r="C58" s="5"/>
      <c r="D58" s="5"/>
      <c r="E58" s="5"/>
      <c r="F58" s="5"/>
      <c r="G58" s="5"/>
    </row>
    <row r="59" customFormat="false" ht="15" hidden="false" customHeight="false" outlineLevel="0" collapsed="false">
      <c r="A59" s="9" t="s">
        <v>111</v>
      </c>
      <c r="B59" s="37" t="n">
        <v>0.025</v>
      </c>
      <c r="C59" s="37" t="n">
        <v>0.03</v>
      </c>
      <c r="D59" s="37" t="n">
        <v>0.035</v>
      </c>
      <c r="E59" s="37" t="n">
        <v>0.04</v>
      </c>
      <c r="F59" s="37" t="n">
        <v>0.045</v>
      </c>
      <c r="G59" s="5"/>
    </row>
    <row r="60" customFormat="false" ht="15" hidden="false" customHeight="false" outlineLevel="0" collapsed="false">
      <c r="A60" s="28" t="n">
        <f aca="false">'Assumptions &amp; WACC'!$B$16+(-0.02)</f>
        <v>0.14365</v>
      </c>
      <c r="B60" s="13" t="n">
        <f aca="false">(SUMPRODUCT($C$14:$G$14,1/(1+$A$60)^$C$15:$G$15)+(G$14*(1+B$59)/($A$60-B$59))/(1+$A$60)^G$15+$B$26)/$B$28</f>
        <v>150.280586939465</v>
      </c>
      <c r="C60" s="13" t="n">
        <f aca="false">(SUMPRODUCT($C$14:$G$14,1/(1+$A$60)^$C$15:$G$15)+(G$14*(1+C$59)/($A$60-C$59))/(1+$A$60)^G$15+$B$26)/$B$28</f>
        <v>155.174112373321</v>
      </c>
      <c r="D60" s="13" t="n">
        <f aca="false">(SUMPRODUCT($C$14:$G$14,1/(1+$A$60)^$C$15:$G$15)+(G$14*(1+D$59)/($A$60-D$59))/(1+$A$60)^G$15+$B$26)/$B$28</f>
        <v>160.518031312364</v>
      </c>
      <c r="E60" s="13" t="n">
        <f aca="false">(SUMPRODUCT($C$14:$G$14,1/(1+$A$60)^$C$15:$G$15)+(G$14*(1+E$59)/($A$60-E$59))/(1+$A$60)^G$15+$B$26)/$B$28</f>
        <v>166.377523713929</v>
      </c>
      <c r="F60" s="13" t="n">
        <f aca="false">(SUMPRODUCT($C$14:$G$14,1/(1+$A$60)^$C$15:$G$15)+(G$14*(1+F$59)/($A$60-F$59))/(1+$A$60)^G$15+$B$26)/$B$28</f>
        <v>172.830983921025</v>
      </c>
      <c r="G60" s="5"/>
    </row>
    <row r="61" customFormat="false" ht="15" hidden="false" customHeight="false" outlineLevel="0" collapsed="false">
      <c r="A61" s="28" t="n">
        <f aca="false">'Assumptions &amp; WACC'!$B$16+(-0.01)</f>
        <v>0.15365</v>
      </c>
      <c r="B61" s="13" t="n">
        <f aca="false">(SUMPRODUCT($C$14:$G$14,1/(1+$A$61)^$C$15:$G$15)+(G$14*(1+B$59)/($A$61-B$59))/(1+$A$61)^G$15+$B$26)/$B$28</f>
        <v>137.202756194636</v>
      </c>
      <c r="C61" s="13" t="n">
        <f aca="false">(SUMPRODUCT($C$14:$G$14,1/(1+$A$61)^$C$15:$G$15)+(G$14*(1+C$59)/($A$61-C$59))/(1+$A$61)^G$15+$B$26)/$B$28</f>
        <v>141.208944666138</v>
      </c>
      <c r="D61" s="13" t="n">
        <f aca="false">(SUMPRODUCT($C$14:$G$14,1/(1+$A$61)^$C$15:$G$15)+(G$14*(1+D$59)/($A$61-D$59))/(1+$A$61)^G$15+$B$26)/$B$28</f>
        <v>145.552780712146</v>
      </c>
      <c r="E61" s="13" t="n">
        <f aca="false">(SUMPRODUCT($C$14:$G$14,1/(1+$A$61)^$C$15:$G$15)+(G$14*(1+E$59)/($A$61-E$59))/(1+$A$61)^G$15+$B$26)/$B$28</f>
        <v>150.278828464797</v>
      </c>
      <c r="F61" s="13" t="n">
        <f aca="false">(SUMPRODUCT($C$14:$G$14,1/(1+$A$61)^$C$15:$G$15)+(G$14*(1+F$59)/($A$61-F$59))/(1+$A$61)^G$15+$B$26)/$B$28</f>
        <v>155.439855301908</v>
      </c>
      <c r="G61" s="5"/>
    </row>
    <row r="62" customFormat="false" ht="15" hidden="false" customHeight="false" outlineLevel="0" collapsed="false">
      <c r="A62" s="28" t="n">
        <f aca="false">'Assumptions &amp; WACC'!$B$16+(0)</f>
        <v>0.16365</v>
      </c>
      <c r="B62" s="13" t="n">
        <f aca="false">(SUMPRODUCT($C$14:$G$14,1/(1+$A$62)^$C$15:$G$15)+(G$14*(1+B$59)/($A$62-B$59))/(1+$A$62)^G$15+$B$26)/$B$28</f>
        <v>126.049041228098</v>
      </c>
      <c r="C62" s="13" t="n">
        <f aca="false">(SUMPRODUCT($C$14:$G$14,1/(1+$A$62)^$C$15:$G$15)+(G$14*(1+C$59)/($A$62-C$59))/(1+$A$62)^G$15+$B$26)/$B$28</f>
        <v>129.371451320493</v>
      </c>
      <c r="D62" s="38" t="n">
        <f aca="false">(SUMPRODUCT($C$14:$G$14,1/(1+$A$62)^$C$15:$G$15)+(G$14*(1+D$59)/($A$62-D$59))/(1+$A$62)^G$15+$B$26)/$B$28</f>
        <v>132.952113266165</v>
      </c>
      <c r="E62" s="13" t="n">
        <f aca="false">(SUMPRODUCT($C$14:$G$14,1/(1+$A$62)^$C$15:$G$15)+(G$14*(1+E$59)/($A$62-E$59))/(1+$A$62)^G$15+$B$26)/$B$28</f>
        <v>136.822355636072</v>
      </c>
      <c r="F62" s="13" t="n">
        <f aca="false">(SUMPRODUCT($C$14:$G$14,1/(1+$A$62)^$C$15:$G$15)+(G$14*(1+F$59)/($A$62-F$59))/(1+$A$62)^G$15+$B$26)/$B$28</f>
        <v>141.018787839093</v>
      </c>
      <c r="G62" s="5"/>
    </row>
    <row r="63" customFormat="false" ht="15" hidden="false" customHeight="false" outlineLevel="0" collapsed="false">
      <c r="A63" s="28" t="n">
        <f aca="false">'Assumptions &amp; WACC'!$B$16+(0.01)</f>
        <v>0.17365</v>
      </c>
      <c r="B63" s="13" t="n">
        <f aca="false">(SUMPRODUCT($C$14:$G$14,1/(1+$A$63)^$C$15:$G$15)+(G$14*(1+B$59)/($A$63-B$59))/(1+$A$63)^G$15+$B$26)/$B$28</f>
        <v>116.429692683425</v>
      </c>
      <c r="C63" s="13" t="n">
        <f aca="false">(SUMPRODUCT($C$14:$G$14,1/(1+$A$63)^$C$15:$G$15)+(G$14*(1+C$59)/($A$63-C$59))/(1+$A$63)^G$15+$B$26)/$B$28</f>
        <v>119.215856279626</v>
      </c>
      <c r="D63" s="13" t="n">
        <f aca="false">(SUMPRODUCT($C$14:$G$14,1/(1+$A$63)^$C$15:$G$15)+(G$14*(1+D$59)/($A$63-D$59))/(1+$A$63)^G$15+$B$26)/$B$28</f>
        <v>122.202969287743</v>
      </c>
      <c r="E63" s="13" t="n">
        <f aca="false">(SUMPRODUCT($C$14:$G$14,1/(1+$A$63)^$C$15:$G$15)+(G$14*(1+E$59)/($A$63-E$59))/(1+$A$63)^G$15+$B$26)/$B$28</f>
        <v>125.413584952658</v>
      </c>
      <c r="F63" s="13" t="n">
        <f aca="false">(SUMPRODUCT($C$14:$G$14,1/(1+$A$63)^$C$15:$G$15)+(G$14*(1+F$59)/($A$63-F$59))/(1+$A$63)^G$15+$B$26)/$B$28</f>
        <v>128.873762659152</v>
      </c>
      <c r="G63" s="5"/>
    </row>
    <row r="64" customFormat="false" ht="15" hidden="false" customHeight="false" outlineLevel="0" collapsed="false">
      <c r="A64" s="28" t="n">
        <f aca="false">'Assumptions &amp; WACC'!$B$16+(0.02)</f>
        <v>0.18365</v>
      </c>
      <c r="B64" s="13" t="n">
        <f aca="false">(SUMPRODUCT($C$14:$G$14,1/(1+$A$64)^$C$15:$G$15)+(G$14*(1+B$59)/($A$64-B$59))/(1+$A$64)^G$15+$B$26)/$B$28</f>
        <v>108.053295448048</v>
      </c>
      <c r="C64" s="13" t="n">
        <f aca="false">(SUMPRODUCT($C$14:$G$14,1/(1+$A$64)^$C$15:$G$15)+(G$14*(1+C$59)/($A$64-C$59))/(1+$A$64)^G$15+$B$26)/$B$28</f>
        <v>110.412500659895</v>
      </c>
      <c r="D64" s="13" t="n">
        <f aca="false">(SUMPRODUCT($C$14:$G$14,1/(1+$A$64)^$C$15:$G$15)+(G$14*(1+D$59)/($A$64-D$59))/(1+$A$64)^G$15+$B$26)/$B$28</f>
        <v>112.930414597732</v>
      </c>
      <c r="E64" s="13" t="n">
        <f aca="false">(SUMPRODUCT($C$14:$G$14,1/(1+$A$64)^$C$15:$G$15)+(G$14*(1+E$59)/($A$64-E$59))/(1+$A$64)^G$15+$B$26)/$B$28</f>
        <v>115.623609700752</v>
      </c>
      <c r="F64" s="13" t="n">
        <f aca="false">(SUMPRODUCT($C$14:$G$14,1/(1+$A$64)^$C$15:$G$15)+(G$14*(1+F$59)/($A$64-F$59))/(1+$A$64)^G$15+$B$26)/$B$28</f>
        <v>118.511048951122</v>
      </c>
      <c r="G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</row>
    <row r="67" customFormat="false" ht="15" hidden="false" customHeight="false" outlineLevel="0" collapsed="false">
      <c r="A67" s="3" t="s">
        <v>112</v>
      </c>
      <c r="B67" s="5"/>
      <c r="C67" s="5"/>
      <c r="D67" s="5"/>
      <c r="E67" s="5"/>
      <c r="F67" s="5"/>
      <c r="G67" s="5"/>
    </row>
    <row r="68" customFormat="false" ht="15" hidden="false" customHeight="false" outlineLevel="0" collapsed="false">
      <c r="A68" s="9" t="s">
        <v>111</v>
      </c>
      <c r="B68" s="37" t="n">
        <v>0.025</v>
      </c>
      <c r="C68" s="37" t="n">
        <v>0.03</v>
      </c>
      <c r="D68" s="37" t="n">
        <v>0.035</v>
      </c>
      <c r="E68" s="37" t="n">
        <v>0.04</v>
      </c>
      <c r="F68" s="37" t="n">
        <v>0.045</v>
      </c>
      <c r="G68" s="5"/>
    </row>
    <row r="69" customFormat="false" ht="15" hidden="false" customHeight="false" outlineLevel="0" collapsed="false">
      <c r="A69" s="28" t="n">
        <f aca="false">'Assumptions &amp; WACC'!$B$21+(-0.02)</f>
        <v>0.109</v>
      </c>
      <c r="B69" s="13" t="n">
        <f aca="false">(SUMPRODUCT($C$41:$G$41,1/(1+$A$69)^$C$42:$G$42)+(G$41*(1+B$68)/($A$69-B$68))/(1+$A$69)^G$42+$B$53)/$B$55</f>
        <v>264.565996703176</v>
      </c>
      <c r="C69" s="13" t="n">
        <f aca="false">(SUMPRODUCT($C$41:$G$41,1/(1+$A$69)^$C$42:$G$42)+(G$41*(1+C$68)/($A$69-C$68))/(1+$A$69)^G$42+$B$53)/$B$55</f>
        <v>278.429044897396</v>
      </c>
      <c r="D69" s="13" t="n">
        <f aca="false">(SUMPRODUCT($C$41:$G$41,1/(1+$A$69)^$C$42:$G$42)+(G$41*(1+D$68)/($A$69-D$68))/(1+$A$69)^G$42+$B$53)/$B$55</f>
        <v>294.165477982727</v>
      </c>
      <c r="E69" s="13" t="n">
        <f aca="false">(SUMPRODUCT($C$41:$G$41,1/(1+$A$69)^$C$42:$G$42)+(G$41*(1+E$68)/($A$69-E$68))/(1+$A$69)^G$42+$B$53)/$B$55</f>
        <v>312.182553544193</v>
      </c>
      <c r="F69" s="13" t="n">
        <f aca="false">(SUMPRODUCT($C$41:$G$41,1/(1+$A$69)^$C$42:$G$42)+(G$41*(1+F$68)/($A$69-F$68))/(1+$A$69)^G$42+$B$53)/$B$55</f>
        <v>333.014797162137</v>
      </c>
      <c r="G69" s="5"/>
    </row>
    <row r="70" customFormat="false" ht="15" hidden="false" customHeight="false" outlineLevel="0" collapsed="false">
      <c r="A70" s="28" t="n">
        <f aca="false">'Assumptions &amp; WACC'!$B$21+(-0.01)</f>
        <v>0.119</v>
      </c>
      <c r="B70" s="13" t="n">
        <f aca="false">(SUMPRODUCT($C$41:$G$41,1/(1+$A$70)^$C$42:$G$42)+(G$41*(1+B$68)/($A$70-B$68))/(1+$A$70)^G$42+$B$53)/$B$55</f>
        <v>233.216560486757</v>
      </c>
      <c r="C70" s="13" t="n">
        <f aca="false">(SUMPRODUCT($C$41:$G$41,1/(1+$A$70)^$C$42:$G$42)+(G$41*(1+C$68)/($A$70-C$68))/(1+$A$70)^G$42+$B$53)/$B$55</f>
        <v>243.825038695913</v>
      </c>
      <c r="D70" s="13" t="n">
        <f aca="false">(SUMPRODUCT($C$41:$G$41,1/(1+$A$70)^$C$42:$G$42)+(G$41*(1+D$68)/($A$70-D$68))/(1+$A$70)^G$42+$B$53)/$B$55</f>
        <v>255.696430977588</v>
      </c>
      <c r="E70" s="13" t="n">
        <f aca="false">(SUMPRODUCT($C$41:$G$41,1/(1+$A$70)^$C$42:$G$42)+(G$41*(1+E$68)/($A$70-E$68))/(1+$A$70)^G$42+$B$53)/$B$55</f>
        <v>269.07053114302</v>
      </c>
      <c r="F70" s="13" t="n">
        <f aca="false">(SUMPRODUCT($C$41:$G$41,1/(1+$A$70)^$C$42:$G$42)+(G$41*(1+F$68)/($A$70-F$68))/(1+$A$70)^G$42+$B$53)/$B$55</f>
        <v>284.251942141617</v>
      </c>
      <c r="G70" s="5"/>
    </row>
    <row r="71" customFormat="false" ht="15" hidden="false" customHeight="false" outlineLevel="0" collapsed="false">
      <c r="A71" s="28" t="n">
        <f aca="false">'Assumptions &amp; WACC'!$B$21+(0)</f>
        <v>0.129</v>
      </c>
      <c r="B71" s="13" t="n">
        <f aca="false">(SUMPRODUCT($C$41:$G$41,1/(1+$A$71)^$C$42:$G$42)+(G$41*(1+B$68)/($A$71-B$68))/(1+$A$71)^G$42+$B$53)/$B$55</f>
        <v>207.99068053576</v>
      </c>
      <c r="C71" s="13" t="n">
        <f aca="false">(SUMPRODUCT($C$41:$G$41,1/(1+$A$71)^$C$42:$G$42)+(G$41*(1+C$68)/($A$71-C$68))/(1+$A$71)^G$42+$B$53)/$B$55</f>
        <v>216.309218316258</v>
      </c>
      <c r="D71" s="38" t="n">
        <f aca="false">(SUMPRODUCT($C$41:$G$41,1/(1+$A$71)^$C$42:$G$42)+(G$41*(1+D$68)/($A$71-D$68))/(1+$A$71)^G$42+$B$53)/$B$55</f>
        <v>225.512706924467</v>
      </c>
      <c r="E71" s="13" t="n">
        <f aca="false">(SUMPRODUCT($C$41:$G$41,1/(1+$A$71)^$C$42:$G$42)+(G$41*(1+E$68)/($A$71-E$68))/(1+$A$71)^G$42+$B$53)/$B$55</f>
        <v>235.750295376297</v>
      </c>
      <c r="F71" s="13" t="n">
        <f aca="false">(SUMPRODUCT($C$41:$G$41,1/(1+$A$71)^$C$42:$G$42)+(G$41*(1+F$68)/($A$71-F$68))/(1+$A$71)^G$42+$B$53)/$B$55</f>
        <v>247.206644358105</v>
      </c>
      <c r="G71" s="5"/>
    </row>
    <row r="72" customFormat="false" ht="15" hidden="false" customHeight="false" outlineLevel="0" collapsed="false">
      <c r="A72" s="28" t="n">
        <f aca="false">'Assumptions &amp; WACC'!$B$21+(0.01)</f>
        <v>0.139</v>
      </c>
      <c r="B72" s="13" t="n">
        <f aca="false">(SUMPRODUCT($C$41:$G$41,1/(1+$A$72)^$C$42:$G$42)+(G$41*(1+B$68)/($A$72-B$68))/(1+$A$72)^G$42+$B$53)/$B$55</f>
        <v>187.273084600102</v>
      </c>
      <c r="C72" s="13" t="n">
        <f aca="false">(SUMPRODUCT($C$41:$G$41,1/(1+$A$72)^$C$42:$G$42)+(G$41*(1+C$68)/($A$72-C$68))/(1+$A$72)^G$42+$B$53)/$B$55</f>
        <v>193.926812694721</v>
      </c>
      <c r="D72" s="13" t="n">
        <f aca="false">(SUMPRODUCT($C$41:$G$41,1/(1+$A$72)^$C$42:$G$42)+(G$41*(1+D$68)/($A$72-D$68))/(1+$A$72)^G$42+$B$53)/$B$55</f>
        <v>201.220322336899</v>
      </c>
      <c r="E72" s="13" t="n">
        <f aca="false">(SUMPRODUCT($C$41:$G$41,1/(1+$A$72)^$C$42:$G$42)+(G$41*(1+E$68)/($A$72-E$68))/(1+$A$72)^G$42+$B$53)/$B$55</f>
        <v>209.250550124751</v>
      </c>
      <c r="F72" s="13" t="n">
        <f aca="false">(SUMPRODUCT($C$41:$G$41,1/(1+$A$72)^$C$42:$G$42)+(G$41*(1+F$68)/($A$72-F$68))/(1+$A$72)^G$42+$B$53)/$B$55</f>
        <v>218.135057464503</v>
      </c>
      <c r="G72" s="5"/>
    </row>
    <row r="73" customFormat="false" ht="15" hidden="false" customHeight="false" outlineLevel="0" collapsed="false">
      <c r="A73" s="28" t="n">
        <f aca="false">'Assumptions &amp; WACC'!$B$21+(0.02)</f>
        <v>0.149</v>
      </c>
      <c r="B73" s="13" t="n">
        <f aca="false">(SUMPRODUCT($C$41:$G$41,1/(1+$A$73)^$C$42:$G$42)+(G$41*(1+B$68)/($A$73-B$68))/(1+$A$73)^G$42+$B$53)/$B$55</f>
        <v>169.969744279644</v>
      </c>
      <c r="C73" s="13" t="n">
        <f aca="false">(SUMPRODUCT($C$41:$G$41,1/(1+$A$73)^$C$42:$G$42)+(G$41*(1+C$68)/($A$73-C$68))/(1+$A$73)^G$42+$B$53)/$B$55</f>
        <v>175.380308219065</v>
      </c>
      <c r="D73" s="13" t="n">
        <f aca="false">(SUMPRODUCT($C$41:$G$41,1/(1+$A$73)^$C$42:$G$42)+(G$41*(1+D$68)/($A$73-D$68))/(1+$A$73)^G$42+$B$53)/$B$55</f>
        <v>181.265483030364</v>
      </c>
      <c r="E73" s="13" t="n">
        <f aca="false">(SUMPRODUCT($C$41:$G$41,1/(1+$A$73)^$C$42:$G$42)+(G$41*(1+E$68)/($A$73-E$68))/(1+$A$73)^G$42+$B$53)/$B$55</f>
        <v>187.690582136278</v>
      </c>
      <c r="F73" s="13" t="n">
        <f aca="false">(SUMPRODUCT($C$41:$G$41,1/(1+$A$73)^$C$42:$G$42)+(G$41*(1+F$68)/($A$73-F$68))/(1+$A$73)^G$42+$B$53)/$B$55</f>
        <v>194.733479233145</v>
      </c>
      <c r="G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1" t="s">
        <v>113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114</v>
      </c>
    </row>
    <row r="4" customFormat="false" ht="28.35" hidden="false" customHeight="false" outlineLevel="0" collapsed="false">
      <c r="A4" s="39" t="s">
        <v>115</v>
      </c>
      <c r="B4" s="39" t="s">
        <v>116</v>
      </c>
      <c r="C4" s="39" t="s">
        <v>117</v>
      </c>
      <c r="D4" s="39" t="s">
        <v>118</v>
      </c>
      <c r="E4" s="39" t="s">
        <v>119</v>
      </c>
      <c r="F4" s="39" t="s">
        <v>120</v>
      </c>
      <c r="G4" s="39" t="s">
        <v>121</v>
      </c>
      <c r="H4" s="39" t="s">
        <v>122</v>
      </c>
    </row>
    <row r="5" customFormat="false" ht="15" hidden="false" customHeight="false" outlineLevel="0" collapsed="false">
      <c r="A5" s="5" t="s">
        <v>123</v>
      </c>
      <c r="B5" s="21" t="n">
        <v>217.43</v>
      </c>
      <c r="C5" s="26" t="n">
        <v>2.23</v>
      </c>
      <c r="D5" s="20" t="n">
        <v>138</v>
      </c>
      <c r="E5" s="20" t="n">
        <v>105.6</v>
      </c>
      <c r="F5" s="40" t="n">
        <v>27.48</v>
      </c>
      <c r="G5" s="5" t="s">
        <v>31</v>
      </c>
      <c r="H5" s="5" t="s">
        <v>31</v>
      </c>
    </row>
    <row r="6" customFormat="false" ht="15" hidden="false" customHeight="false" outlineLevel="0" collapsed="false">
      <c r="A6" s="5" t="s">
        <v>124</v>
      </c>
      <c r="B6" s="21" t="n">
        <v>468.28</v>
      </c>
      <c r="C6" s="26" t="n">
        <v>2.49</v>
      </c>
      <c r="D6" s="20" t="n">
        <v>41.31</v>
      </c>
      <c r="E6" s="20" t="n">
        <v>6.43</v>
      </c>
      <c r="F6" s="40" t="n">
        <v>120.79</v>
      </c>
      <c r="G6" s="40" t="n">
        <v>42.61</v>
      </c>
      <c r="H6" s="40" t="n">
        <v>79.87</v>
      </c>
    </row>
    <row r="7" customFormat="false" ht="15" hidden="false" customHeight="false" outlineLevel="0" collapsed="false">
      <c r="A7" s="5" t="s">
        <v>125</v>
      </c>
      <c r="B7" s="21" t="n">
        <v>380</v>
      </c>
      <c r="C7" s="26" t="n">
        <v>1.47</v>
      </c>
      <c r="D7" s="20" t="n">
        <v>75.47</v>
      </c>
      <c r="E7" s="20" t="n">
        <v>29.32</v>
      </c>
      <c r="F7" s="40" t="n">
        <v>61.83</v>
      </c>
      <c r="G7" s="40" t="n">
        <v>23.55</v>
      </c>
      <c r="H7" s="40" t="n">
        <v>43.08</v>
      </c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15" hidden="false" customHeight="false" outlineLevel="0" collapsed="false">
      <c r="A9" s="3" t="s">
        <v>126</v>
      </c>
      <c r="B9" s="41" t="n">
        <f aca="false">AVERAGE(F6:F7)</f>
        <v>91.31</v>
      </c>
      <c r="C9" s="5"/>
      <c r="D9" s="5"/>
      <c r="E9" s="5"/>
      <c r="F9" s="5"/>
      <c r="G9" s="5"/>
      <c r="H9" s="5"/>
    </row>
    <row r="10" customFormat="false" ht="15" hidden="false" customHeight="false" outlineLevel="0" collapsed="false">
      <c r="A10" s="3" t="s">
        <v>127</v>
      </c>
      <c r="B10" s="41" t="n">
        <f aca="false">AVERAGE(G6:G7)</f>
        <v>33.08</v>
      </c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22" t="s">
        <v>128</v>
      </c>
      <c r="B12" s="23"/>
      <c r="C12" s="23"/>
      <c r="D12" s="5"/>
      <c r="E12" s="5"/>
      <c r="F12" s="5"/>
      <c r="G12" s="5"/>
      <c r="H12" s="5"/>
    </row>
    <row r="13" customFormat="false" ht="15" hidden="false" customHeight="false" outlineLevel="0" collapsed="false">
      <c r="A13" s="6" t="s">
        <v>129</v>
      </c>
      <c r="B13" s="13" t="n">
        <f aca="false">E5/'Assumptions &amp; WACC'!B6</f>
        <v>4.38174273858921</v>
      </c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6" t="s">
        <v>130</v>
      </c>
      <c r="B14" s="13" t="n">
        <f aca="false">B9*B13</f>
        <v>400.096929460581</v>
      </c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6" t="s">
        <v>131</v>
      </c>
      <c r="B15" s="13" t="n">
        <f aca="false">B10*B13*1.85</f>
        <v>268.153892116183</v>
      </c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2026-08-29T13:44:34Z</dcterms:created>
  <dc:creator>openpyxl</dc:creator>
  <dc:description/>
  <dc:language>en-US</dc:language>
  <cp:lastModifiedBy/>
  <dcterms:modified xsi:type="dcterms:W3CDTF">2026-08-29T13:44:36Z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